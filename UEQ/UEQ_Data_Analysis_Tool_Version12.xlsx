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defaultThemeVersion="124226"/>
  <mc:AlternateContent xmlns:mc="http://schemas.openxmlformats.org/markup-compatibility/2006">
    <mc:Choice Requires="x15">
      <x15ac:absPath xmlns:x15ac="http://schemas.microsoft.com/office/spreadsheetml/2010/11/ac" url="/Users/fruityterminal/Library/Mobile Documents/com~apple~CloudDocs/TSC/PRECOG/data analyse/"/>
    </mc:Choice>
  </mc:AlternateContent>
  <xr:revisionPtr revIDLastSave="0" documentId="13_ncr:1_{D4BA8603-979F-DD48-91B7-8A53F37F692C}" xr6:coauthVersionLast="47" xr6:coauthVersionMax="47" xr10:uidLastSave="{00000000-0000-0000-0000-000000000000}"/>
  <bookViews>
    <workbookView xWindow="2680" yWindow="7720" windowWidth="27380" windowHeight="17960" tabRatio="897" activeTab="3"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AE257" i="7" s="1"/>
  <c r="H257" i="7"/>
  <c r="G257" i="7"/>
  <c r="F257" i="7"/>
  <c r="E257" i="7"/>
  <c r="D257" i="7"/>
  <c r="C257" i="7"/>
  <c r="B257" i="7"/>
  <c r="A257" i="7"/>
  <c r="AC257" i="7" s="1"/>
  <c r="Z256" i="7"/>
  <c r="Y256" i="7"/>
  <c r="X256" i="7"/>
  <c r="W256" i="7"/>
  <c r="V256" i="7"/>
  <c r="U256" i="7"/>
  <c r="T256" i="7"/>
  <c r="S256" i="7"/>
  <c r="R256" i="7"/>
  <c r="Q256" i="7"/>
  <c r="P256" i="7"/>
  <c r="O256" i="7"/>
  <c r="N256" i="7"/>
  <c r="M256" i="7"/>
  <c r="L256" i="7"/>
  <c r="K256" i="7"/>
  <c r="J256" i="7"/>
  <c r="I256" i="7"/>
  <c r="H256" i="7"/>
  <c r="G256" i="7"/>
  <c r="F256" i="7"/>
  <c r="E256" i="7"/>
  <c r="D256" i="7"/>
  <c r="C256" i="7"/>
  <c r="AH256" i="7" s="1"/>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AC253" i="7" s="1"/>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AC233" i="7" s="1"/>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AC225" i="7" s="1"/>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AE217" i="7" s="1"/>
  <c r="H217" i="7"/>
  <c r="G217" i="7"/>
  <c r="F217" i="7"/>
  <c r="E217" i="7"/>
  <c r="D217" i="7"/>
  <c r="C217" i="7"/>
  <c r="B217" i="7"/>
  <c r="A217" i="7"/>
  <c r="AC217" i="7" s="1"/>
  <c r="Z216" i="7"/>
  <c r="Y216" i="7"/>
  <c r="X216" i="7"/>
  <c r="W216" i="7"/>
  <c r="V216" i="7"/>
  <c r="U216" i="7"/>
  <c r="T216" i="7"/>
  <c r="S216" i="7"/>
  <c r="R216" i="7"/>
  <c r="Q216" i="7"/>
  <c r="P216" i="7"/>
  <c r="O216" i="7"/>
  <c r="N216" i="7"/>
  <c r="M216" i="7"/>
  <c r="L216" i="7"/>
  <c r="K216" i="7"/>
  <c r="J216" i="7"/>
  <c r="I216" i="7"/>
  <c r="H216" i="7"/>
  <c r="G216" i="7"/>
  <c r="F216" i="7"/>
  <c r="E216" i="7"/>
  <c r="D216" i="7"/>
  <c r="C216" i="7"/>
  <c r="AH216" i="7" s="1"/>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AC213" i="7" s="1"/>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AE209" i="7" s="1"/>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AH208" i="7" s="1"/>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AC197" i="7" s="1"/>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AC193" i="7" s="1"/>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AE185" i="7" s="1"/>
  <c r="H185" i="7"/>
  <c r="G185" i="7"/>
  <c r="F185" i="7"/>
  <c r="E185" i="7"/>
  <c r="D185" i="7"/>
  <c r="C185" i="7"/>
  <c r="B185" i="7"/>
  <c r="A185" i="7"/>
  <c r="AC185" i="7" s="1"/>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AE177" i="7" s="1"/>
  <c r="H177" i="7"/>
  <c r="G177" i="7"/>
  <c r="F177" i="7"/>
  <c r="E177" i="7"/>
  <c r="D177" i="7"/>
  <c r="C177" i="7"/>
  <c r="B177" i="7"/>
  <c r="A177" i="7"/>
  <c r="AC177" i="7" s="1"/>
  <c r="Z176" i="7"/>
  <c r="Y176" i="7"/>
  <c r="X176" i="7"/>
  <c r="W176" i="7"/>
  <c r="V176" i="7"/>
  <c r="U176" i="7"/>
  <c r="T176" i="7"/>
  <c r="S176" i="7"/>
  <c r="R176" i="7"/>
  <c r="Q176" i="7"/>
  <c r="P176" i="7"/>
  <c r="O176" i="7"/>
  <c r="N176" i="7"/>
  <c r="M176" i="7"/>
  <c r="L176" i="7"/>
  <c r="K176" i="7"/>
  <c r="J176" i="7"/>
  <c r="I176" i="7"/>
  <c r="H176" i="7"/>
  <c r="G176" i="7"/>
  <c r="F176" i="7"/>
  <c r="E176" i="7"/>
  <c r="D176" i="7"/>
  <c r="C176" i="7"/>
  <c r="AH176" i="7" s="1"/>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AC173" i="7" s="1"/>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AE169" i="7" s="1"/>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AH168" i="7" s="1"/>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AC165" i="7" s="1"/>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AC157" i="7" s="1"/>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AE137" i="7" s="1"/>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AH136" i="7" s="1"/>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AC133" i="7" s="1"/>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AE129" i="7" s="1"/>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AH128" i="7" s="1"/>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AC125" i="7" s="1"/>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AC117" i="7" s="1"/>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AE105" i="7" s="1"/>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AE97" i="7" s="1"/>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AH96" i="7" s="1"/>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AC93" i="7" s="1"/>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AE89" i="7" s="1"/>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AH88" i="7" s="1"/>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AC85" i="7" s="1"/>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AC77" i="7" s="1"/>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AC73" i="7" s="1"/>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AE65" i="7" s="1"/>
  <c r="H65" i="7"/>
  <c r="G65" i="7"/>
  <c r="F65" i="7"/>
  <c r="E65" i="7"/>
  <c r="D65" i="7"/>
  <c r="C65" i="7"/>
  <c r="B65" i="7"/>
  <c r="A65" i="7"/>
  <c r="AC65" i="7" s="1"/>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AE57" i="7" s="1"/>
  <c r="H57" i="7"/>
  <c r="G57" i="7"/>
  <c r="F57" i="7"/>
  <c r="E57" i="7"/>
  <c r="D57" i="7"/>
  <c r="C57" i="7"/>
  <c r="B57" i="7"/>
  <c r="A57" i="7"/>
  <c r="AC57" i="7" s="1"/>
  <c r="Z56" i="7"/>
  <c r="Y56" i="7"/>
  <c r="X56" i="7"/>
  <c r="W56" i="7"/>
  <c r="V56" i="7"/>
  <c r="U56" i="7"/>
  <c r="T56" i="7"/>
  <c r="S56" i="7"/>
  <c r="R56" i="7"/>
  <c r="Q56" i="7"/>
  <c r="P56" i="7"/>
  <c r="O56" i="7"/>
  <c r="N56" i="7"/>
  <c r="M56" i="7"/>
  <c r="L56" i="7"/>
  <c r="K56" i="7"/>
  <c r="J56" i="7"/>
  <c r="I56" i="7"/>
  <c r="H56" i="7"/>
  <c r="G56" i="7"/>
  <c r="F56" i="7"/>
  <c r="E56" i="7"/>
  <c r="D56" i="7"/>
  <c r="C56" i="7"/>
  <c r="AH56" i="7" s="1"/>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AC53" i="7" s="1"/>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AE49" i="7" s="1"/>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AH48" i="7" s="1"/>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AC45" i="7" s="1"/>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AC37" i="7" s="1"/>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AC33" i="7" s="1"/>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AE25" i="7" s="1"/>
  <c r="H25" i="7"/>
  <c r="G25" i="7"/>
  <c r="F25" i="7"/>
  <c r="E25" i="7"/>
  <c r="D25" i="7"/>
  <c r="C25" i="7"/>
  <c r="B25" i="7"/>
  <c r="A25" i="7"/>
  <c r="AC25" i="7" s="1"/>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AE17" i="7" s="1"/>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AH16" i="7" s="1"/>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H40" i="7" l="1"/>
  <c r="AC21" i="7"/>
  <c r="AH24" i="7"/>
  <c r="AE33" i="7"/>
  <c r="AC41" i="7"/>
  <c r="AH44" i="7"/>
  <c r="AE53" i="7"/>
  <c r="AC61" i="7"/>
  <c r="AH64" i="7"/>
  <c r="AE73" i="7"/>
  <c r="AC81" i="7"/>
  <c r="AH84" i="7"/>
  <c r="AE93" i="7"/>
  <c r="AC101" i="7"/>
  <c r="AH104" i="7"/>
  <c r="AE113" i="7"/>
  <c r="AC121" i="7"/>
  <c r="AH124" i="7"/>
  <c r="AE133" i="7"/>
  <c r="AC141" i="7"/>
  <c r="AH144" i="7"/>
  <c r="AE153" i="7"/>
  <c r="AC161" i="7"/>
  <c r="AH164" i="7"/>
  <c r="AE173" i="7"/>
  <c r="AC181" i="7"/>
  <c r="AH184" i="7"/>
  <c r="AE193" i="7"/>
  <c r="AC201" i="7"/>
  <c r="AH204" i="7"/>
  <c r="AE213" i="7"/>
  <c r="AC221" i="7"/>
  <c r="AH224" i="7"/>
  <c r="AE233" i="7"/>
  <c r="AC241" i="7"/>
  <c r="AH244" i="7"/>
  <c r="AE253" i="7"/>
  <c r="AE145" i="7"/>
  <c r="AE225" i="7"/>
  <c r="AE237" i="7"/>
  <c r="AC245" i="7"/>
  <c r="AH248" i="7"/>
  <c r="AH80" i="7"/>
  <c r="AH100" i="7"/>
  <c r="AH120" i="7"/>
  <c r="AH140" i="7"/>
  <c r="AH160" i="7"/>
  <c r="AH180" i="7"/>
  <c r="AH200" i="7"/>
  <c r="AH220" i="7"/>
  <c r="AC237" i="7"/>
  <c r="AH240" i="7"/>
  <c r="AE249" i="7"/>
  <c r="B3" i="2"/>
  <c r="AE21" i="7"/>
  <c r="AC29" i="7"/>
  <c r="AH32" i="7"/>
  <c r="AE41" i="7"/>
  <c r="AC49" i="7"/>
  <c r="AH52" i="7"/>
  <c r="AE61" i="7"/>
  <c r="AC69" i="7"/>
  <c r="AH72" i="7"/>
  <c r="AE81" i="7"/>
  <c r="AC89" i="7"/>
  <c r="AH92" i="7"/>
  <c r="AE101" i="7"/>
  <c r="AC109" i="7"/>
  <c r="AH112" i="7"/>
  <c r="AE121" i="7"/>
  <c r="AC129" i="7"/>
  <c r="AH132" i="7"/>
  <c r="AE141" i="7"/>
  <c r="AC149" i="7"/>
  <c r="AH152" i="7"/>
  <c r="AE161" i="7"/>
  <c r="AC169" i="7"/>
  <c r="AH172" i="7"/>
  <c r="AE181" i="7"/>
  <c r="AC189" i="7"/>
  <c r="AH192" i="7"/>
  <c r="AE201" i="7"/>
  <c r="AC209" i="7"/>
  <c r="AH212" i="7"/>
  <c r="AE221" i="7"/>
  <c r="AC229" i="7"/>
  <c r="AH232" i="7"/>
  <c r="AE241" i="7"/>
  <c r="AC249" i="7"/>
  <c r="AH252" i="7"/>
  <c r="AH20" i="7"/>
  <c r="AH60" i="7"/>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D6" i="2" s="1"/>
  <c r="C8" i="3" s="1"/>
  <c r="E8" i="3" s="1"/>
  <c r="B6" i="2"/>
  <c r="B8" i="3" s="1"/>
  <c r="Q12" i="4"/>
  <c r="C17" i="2"/>
  <c r="D17" i="2" s="1"/>
  <c r="C19" i="3" s="1"/>
  <c r="E19" i="3" s="1"/>
  <c r="B17" i="2"/>
  <c r="B19" i="3" s="1"/>
  <c r="C25" i="2"/>
  <c r="D25" i="2" s="1"/>
  <c r="C27" i="3" s="1"/>
  <c r="E27" i="3" s="1"/>
  <c r="B25" i="2"/>
  <c r="B27" i="3" s="1"/>
  <c r="N9" i="4"/>
  <c r="C7" i="2"/>
  <c r="D7" i="2" s="1"/>
  <c r="C9" i="3" s="1"/>
  <c r="E9" i="3" s="1"/>
  <c r="N8" i="4"/>
  <c r="B7" i="2"/>
  <c r="B9" i="3" s="1"/>
  <c r="N7" i="4"/>
  <c r="C26" i="2"/>
  <c r="D26" i="2" s="1"/>
  <c r="C28" i="3" s="1"/>
  <c r="E28" i="3" s="1"/>
  <c r="B26" i="2"/>
  <c r="B28" i="3" s="1"/>
  <c r="B21" i="4"/>
  <c r="C11" i="2"/>
  <c r="D11" i="2" s="1"/>
  <c r="C13" i="3" s="1"/>
  <c r="E13" i="3" s="1"/>
  <c r="B11" i="2"/>
  <c r="B13" i="3" s="1"/>
  <c r="H9" i="4"/>
  <c r="H8" i="4"/>
  <c r="H7" i="4"/>
  <c r="C21" i="2"/>
  <c r="D21" i="2" s="1"/>
  <c r="C23" i="3" s="1"/>
  <c r="E23" i="3" s="1"/>
  <c r="B21" i="2"/>
  <c r="B23" i="3" s="1"/>
  <c r="B19" i="4"/>
  <c r="C18" i="2"/>
  <c r="D18" i="2" s="1"/>
  <c r="C20" i="3" s="1"/>
  <c r="E20" i="3" s="1"/>
  <c r="B18" i="2"/>
  <c r="B20" i="3" s="1"/>
  <c r="B20" i="4"/>
  <c r="B28" i="2"/>
  <c r="B30" i="3" s="1"/>
  <c r="C28" i="2"/>
  <c r="D28" i="2" s="1"/>
  <c r="C30" i="3" s="1"/>
  <c r="E30" i="3" s="1"/>
  <c r="N10" i="4"/>
  <c r="B8" i="2"/>
  <c r="B10" i="3" s="1"/>
  <c r="N11" i="4"/>
  <c r="C8" i="2"/>
  <c r="D8" i="2" s="1"/>
  <c r="C10" i="3" s="1"/>
  <c r="E10" i="3" s="1"/>
  <c r="C27" i="2"/>
  <c r="D27" i="2" s="1"/>
  <c r="C29" i="3" s="1"/>
  <c r="E29" i="3" s="1"/>
  <c r="B27" i="2"/>
  <c r="B29" i="3" s="1"/>
  <c r="C9" i="2"/>
  <c r="D9" i="2" s="1"/>
  <c r="C11" i="3" s="1"/>
  <c r="E11" i="3" s="1"/>
  <c r="N12" i="4"/>
  <c r="B9" i="2"/>
  <c r="B11" i="3" s="1"/>
  <c r="B12" i="2"/>
  <c r="B14" i="3" s="1"/>
  <c r="Q11" i="4"/>
  <c r="Q10" i="4"/>
  <c r="C12" i="2"/>
  <c r="D12" i="2" s="1"/>
  <c r="C14" i="3" s="1"/>
  <c r="E14" i="3" s="1"/>
  <c r="B24" i="2"/>
  <c r="B26" i="3" s="1"/>
  <c r="H12" i="4"/>
  <c r="C24" i="2"/>
  <c r="D24" i="2" s="1"/>
  <c r="C26" i="3" s="1"/>
  <c r="E26" i="3" s="1"/>
  <c r="AH990" i="7"/>
  <c r="AH994" i="7"/>
  <c r="AH998" i="7"/>
  <c r="K8" i="4"/>
  <c r="K7" i="4"/>
  <c r="C10" i="2"/>
  <c r="D10" i="2" s="1"/>
  <c r="C12" i="3" s="1"/>
  <c r="E12" i="3" s="1"/>
  <c r="B10" i="2"/>
  <c r="B12" i="3" s="1"/>
  <c r="K9" i="4"/>
  <c r="C14" i="2"/>
  <c r="D14" i="2" s="1"/>
  <c r="C16" i="3" s="1"/>
  <c r="E16" i="3" s="1"/>
  <c r="B15" i="4"/>
  <c r="B14" i="2"/>
  <c r="B16" i="3" s="1"/>
  <c r="B14" i="4"/>
  <c r="B13" i="4"/>
  <c r="B12" i="4"/>
  <c r="C23" i="2"/>
  <c r="D23" i="2" s="1"/>
  <c r="C25" i="3" s="1"/>
  <c r="E25" i="3" s="1"/>
  <c r="B23" i="2"/>
  <c r="B25" i="3" s="1"/>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5" i="3"/>
  <c r="B8" i="4"/>
  <c r="B7" i="4"/>
  <c r="AC4" i="7"/>
  <c r="K11" i="4"/>
  <c r="C13" i="2"/>
  <c r="D13" i="2" s="1"/>
  <c r="C15" i="3" s="1"/>
  <c r="E15" i="3" s="1"/>
  <c r="K10" i="4"/>
  <c r="B13" i="2"/>
  <c r="B15" i="3" s="1"/>
  <c r="H11" i="4"/>
  <c r="C22" i="2"/>
  <c r="D22" i="2" s="1"/>
  <c r="C24" i="3" s="1"/>
  <c r="E24" i="3" s="1"/>
  <c r="H10" i="4"/>
  <c r="B22" i="2"/>
  <c r="B24" i="3" s="1"/>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N10" i="3" l="1"/>
  <c r="D3" i="11"/>
  <c r="C3" i="11"/>
  <c r="C7" i="11"/>
  <c r="D7" i="11"/>
  <c r="C4" i="11"/>
  <c r="D4" i="11"/>
  <c r="D8" i="11"/>
  <c r="C8" i="11"/>
  <c r="C6" i="11"/>
  <c r="D6" i="11"/>
  <c r="C5" i="11"/>
  <c r="D5" i="11"/>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<sst xmlns="http://schemas.openxmlformats.org/spreadsheetml/2006/main" count="2565" uniqueCount="2267">
  <si>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</si>
  <si>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</si>
  <si>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</si>
  <si>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</si>
  <si>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</si>
  <si>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</si>
  <si>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</si>
  <si>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</si>
  <si>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</si>
  <si>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</si>
  <si>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</si>
  <si>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</si>
  <si>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</si>
  <si>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</si>
  <si>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</si>
  <si>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</si>
  <si>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</si>
  <si>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</si>
  <si>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</si>
  <si>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</si>
  <si>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</si>
  <si>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</si>
  <si>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</si>
  <si>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</si>
  <si>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</si>
  <si>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</si>
  <si>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</si>
  <si>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</si>
  <si>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</si>
  <si>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</si>
  <si>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</si>
  <si>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</si>
  <si>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</si>
  <si>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</si>
  <si>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</si>
  <si>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</si>
  <si>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</si>
  <si>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</si>
  <si>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</si>
  <si>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</si>
  <si>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</si>
  <si>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</si>
  <si>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</si>
  <si>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</si>
  <si>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</si>
  <si>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</si>
  <si>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</si>
  <si>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</si>
  <si>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</si>
  <si>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</si>
  <si>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</si>
  <si>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</si>
  <si>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</si>
  <si>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</si>
  <si>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</si>
  <si>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</si>
  <si>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</si>
  <si>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</si>
  <si>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</si>
  <si>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</si>
  <si>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</si>
  <si>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</si>
  <si>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</si>
  <si>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</si>
  <si>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</si>
  <si>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</si>
  <si>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</si>
  <si>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</si>
  <si>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</si>
  <si>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</si>
  <si>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</si>
  <si>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</si>
  <si>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</si>
  <si>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</si>
  <si>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</si>
  <si>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</si>
  <si>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</si>
  <si>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</si>
  <si>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</si>
  <si>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</si>
  <si>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</si>
  <si>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</si>
  <si>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</si>
  <si>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</si>
  <si>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</si>
  <si>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</si>
  <si>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</si>
  <si>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</si>
  <si>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</si>
  <si>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</si>
  <si>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</si>
  <si>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</si>
  <si>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</si>
  <si>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</si>
  <si>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</si>
  <si>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</si>
  <si>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</si>
  <si>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</si>
  <si>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</si>
  <si>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</si>
  <si>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</si>
  <si>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</si>
  <si>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</si>
  <si>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</si>
  <si>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</si>
  <si>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</si>
  <si>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</si>
  <si>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</si>
  <si>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</si>
  <si>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</si>
  <si>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</si>
  <si>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</si>
  <si>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</si>
  <si>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</si>
  <si>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</si>
  <si>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</si>
  <si>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</si>
  <si>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</si>
  <si>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</si>
  <si>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</si>
  <si>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</si>
  <si>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</si>
  <si>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</si>
  <si>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</si>
  <si>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</si>
  <si>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</si>
  <si>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</si>
  <si>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</si>
  <si>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</si>
  <si>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</si>
  <si>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</si>
  <si>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</si>
  <si>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</si>
  <si>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</si>
  <si>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</si>
  <si>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</si>
  <si>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</si>
  <si>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</si>
  <si>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</si>
  <si>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</si>
  <si>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</si>
  <si>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</si>
  <si>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</si>
  <si>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</si>
  <si>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</si>
  <si>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</si>
  <si>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</si>
  <si>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</si>
  <si>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</si>
  <si>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</si>
  <si>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</si>
  <si>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</si>
  <si>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</si>
  <si>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</si>
  <si>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</si>
  <si>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</si>
  <si>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</si>
  <si>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</si>
  <si>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</si>
  <si>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</si>
  <si>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</si>
  <si>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</si>
  <si>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</si>
  <si>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</si>
  <si>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</si>
  <si>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</si>
  <si>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</si>
  <si>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</si>
  <si>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</si>
  <si>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</si>
  <si>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</si>
  <si>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</si>
  <si>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</si>
  <si>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</si>
  <si>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</si>
  <si>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</si>
  <si>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</si>
  <si>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</si>
  <si>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</si>
  <si>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</si>
  <si>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</si>
  <si>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</si>
  <si>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</si>
  <si>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</si>
  <si>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</si>
  <si>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</si>
  <si>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</si>
  <si>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</si>
  <si>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</si>
  <si>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</si>
  <si>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</si>
  <si>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</si>
  <si>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</si>
  <si>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</si>
  <si>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</si>
  <si>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</si>
  <si>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</si>
  <si>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</si>
  <si>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</si>
  <si>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</si>
  <si>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</si>
  <si>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</si>
  <si>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</si>
  <si>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</si>
  <si>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</si>
  <si>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</si>
  <si>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</si>
  <si>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</si>
  <si>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</si>
  <si>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</si>
  <si>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</si>
  <si>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</si>
  <si>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</si>
  <si>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</si>
  <si>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</si>
  <si>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</si>
  <si>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</si>
  <si>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</si>
  <si>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</si>
  <si>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</si>
  <si>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</si>
  <si>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</si>
  <si>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</si>
  <si>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</si>
  <si>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</si>
  <si>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</si>
  <si>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</si>
  <si>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</si>
  <si>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</si>
  <si>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</si>
  <si>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</si>
  <si>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</si>
  <si>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</si>
  <si>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</si>
  <si>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</si>
  <si>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</si>
  <si>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</si>
  <si>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</si>
  <si>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</si>
  <si>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</si>
  <si>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</si>
  <si>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</si>
  <si>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</si>
  <si>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</si>
  <si>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</si>
  <si>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</si>
  <si>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</si>
  <si>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</si>
  <si>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</si>
  <si>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</si>
  <si>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</si>
  <si>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</si>
  <si>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</si>
  <si>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</si>
  <si>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</si>
  <si>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</si>
  <si>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</si>
  <si>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</si>
  <si>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</si>
  <si>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</si>
  <si>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</si>
  <si>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</si>
  <si>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</si>
  <si>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</si>
  <si>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</si>
  <si>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</si>
  <si>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</si>
  <si>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</si>
  <si>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</si>
  <si>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</si>
  <si>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</si>
  <si>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</si>
  <si>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</si>
  <si>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</si>
  <si>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</si>
  <si>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</si>
  <si>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</si>
  <si>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</si>
  <si>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</si>
  <si>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</si>
  <si>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</si>
  <si>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</si>
  <si>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</si>
  <si>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</si>
  <si>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</si>
  <si>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</si>
  <si>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</si>
  <si>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</si>
  <si>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</si>
  <si>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</si>
  <si>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</si>
  <si>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</si>
  <si>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</si>
  <si>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</si>
  <si>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</si>
  <si>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</si>
  <si>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</si>
  <si>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</si>
  <si>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</si>
  <si>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</si>
  <si>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</si>
  <si>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</si>
  <si>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</si>
  <si>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</si>
  <si>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</si>
  <si>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</si>
  <si>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</si>
  <si>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</si>
  <si>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</si>
  <si>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</si>
  <si>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</si>
  <si>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</si>
  <si>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</si>
  <si>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</si>
  <si>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</si>
  <si>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</si>
  <si>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</si>
  <si>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</si>
  <si>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</si>
  <si>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</si>
  <si>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</si>
  <si>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</si>
  <si>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</si>
  <si>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</si>
  <si>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</si>
  <si>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</si>
  <si>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</si>
  <si>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</si>
  <si>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</si>
  <si>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</si>
  <si>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</si>
  <si>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</si>
  <si>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</si>
  <si>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</si>
  <si>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</si>
  <si>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</si>
  <si>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</si>
  <si>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</si>
  <si>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</si>
  <si>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</si>
  <si>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</si>
  <si>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</si>
  <si>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</si>
  <si>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</si>
  <si>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</si>
  <si>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</si>
  <si>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</si>
  <si>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</si>
  <si>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</si>
  <si>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</si>
  <si>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</si>
  <si>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</si>
  <si>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</si>
  <si>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</si>
  <si>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</si>
  <si>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</si>
  <si>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</si>
  <si>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</si>
  <si>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</si>
  <si>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</si>
  <si>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</si>
  <si>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</si>
  <si>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</si>
  <si>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</si>
  <si>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</si>
  <si>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</si>
  <si>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</si>
  <si>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</si>
  <si>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</si>
  <si>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</si>
  <si>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</si>
  <si>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</si>
  <si>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</si>
  <si>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</si>
  <si>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</si>
  <si>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</si>
  <si>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</si>
  <si>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</si>
  <si>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</si>
  <si>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</si>
  <si>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</si>
  <si>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</si>
  <si>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</si>
  <si>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</si>
  <si>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</si>
  <si>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</si>
  <si>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</si>
  <si>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</si>
  <si>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</si>
  <si>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</si>
  <si>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</si>
  <si>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</si>
  <si>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</si>
  <si>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</si>
  <si>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</si>
  <si>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</si>
  <si>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</si>
  <si>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</si>
  <si>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</si>
  <si>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</si>
  <si>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</si>
  <si>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</si>
  <si>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</si>
  <si>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</si>
  <si>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</si>
  <si>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</si>
  <si>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</si>
  <si>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</si>
  <si>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</si>
  <si>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</si>
  <si>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</si>
  <si>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</si>
  <si>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</si>
  <si>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</si>
  <si>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</si>
  <si>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</si>
  <si>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</si>
  <si>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</si>
  <si>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</si>
  <si>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</si>
  <si>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</si>
  <si>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</si>
  <si>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</si>
  <si>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</si>
  <si>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</si>
  <si>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</si>
  <si>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</si>
  <si>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</si>
  <si>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</si>
  <si>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</si>
  <si>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</si>
  <si>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</si>
  <si>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</si>
  <si>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</si>
  <si>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</si>
  <si>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</si>
  <si>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</si>
  <si>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</si>
  <si>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</si>
  <si>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</si>
  <si>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</si>
  <si>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</si>
  <si>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</si>
  <si>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</si>
  <si>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</si>
  <si>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</si>
  <si>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</si>
  <si>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</si>
  <si>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</si>
  <si>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</si>
  <si>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</si>
  <si>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</si>
  <si>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</si>
  <si>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</si>
  <si>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</si>
  <si>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</si>
  <si>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</si>
  <si>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</si>
  <si>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</si>
  <si>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</si>
  <si>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</si>
  <si>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</si>
  <si>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</si>
  <si>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</si>
  <si>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</si>
  <si>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</si>
  <si>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</si>
  <si>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</si>
  <si>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</si>
  <si>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</si>
  <si>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</si>
  <si>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</si>
  <si>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</si>
  <si>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</si>
  <si>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</si>
  <si>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</si>
  <si>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</si>
  <si>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</si>
  <si>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</si>
  <si>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</si>
  <si>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</si>
  <si>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</si>
  <si>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</si>
  <si>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</si>
  <si>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</si>
  <si>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</si>
  <si>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</si>
  <si>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</si>
  <si>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</si>
  <si>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</si>
  <si>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</si>
  <si>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</si>
  <si>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</si>
  <si>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</si>
  <si>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</si>
  <si>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</si>
  <si>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</si>
  <si>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</si>
  <si>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</si>
  <si>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</si>
  <si>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</si>
  <si>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</si>
  <si>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</si>
  <si>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</si>
  <si>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</si>
  <si>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</si>
  <si>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</si>
  <si>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</si>
  <si>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</si>
  <si>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</si>
  <si>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</si>
  <si>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</si>
  <si>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</si>
  <si>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</si>
  <si>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</si>
  <si>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</si>
  <si>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</si>
  <si>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</si>
  <si>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</si>
  <si>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</si>
  <si>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</si>
  <si>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</si>
  <si>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</si>
  <si>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</si>
  <si>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</si>
  <si>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</si>
  <si>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</si>
  <si>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</si>
  <si>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</si>
  <si>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</si>
  <si>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</si>
  <si>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</si>
  <si>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</si>
  <si>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</si>
  <si>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</si>
  <si>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</si>
  <si>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</si>
  <si>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</si>
  <si>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</si>
  <si>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</si>
  <si>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</si>
  <si>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</si>
  <si>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</si>
  <si>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</si>
  <si>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</si>
  <si>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</si>
  <si>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</si>
  <si>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</si>
  <si>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</si>
  <si>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</si>
  <si>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</si>
  <si>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</si>
  <si>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</si>
  <si>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</si>
  <si>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</si>
  <si>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</si>
  <si>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</si>
  <si>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</si>
  <si>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</si>
  <si>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</si>
  <si>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</si>
  <si>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</si>
  <si>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</si>
  <si>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</si>
  <si>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</si>
  <si>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</si>
  <si>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</si>
  <si>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</si>
  <si>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</si>
  <si>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</si>
  <si>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</si>
  <si>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</si>
  <si>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</si>
  <si>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</si>
  <si>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</si>
  <si>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</si>
  <si>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</si>
  <si>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</si>
  <si>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</si>
  <si>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</si>
  <si>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</si>
  <si>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</si>
  <si>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</si>
  <si>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</si>
  <si>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</si>
  <si>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</si>
  <si>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</si>
  <si>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</si>
  <si>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</si>
  <si>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</si>
  <si>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</si>
  <si>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</si>
  <si>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</si>
  <si>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</si>
  <si>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</si>
  <si>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</si>
  <si>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</si>
  <si>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</si>
  <si>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</si>
  <si>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</si>
  <si>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</si>
  <si>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</si>
  <si>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</si>
  <si>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</si>
  <si>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</si>
  <si>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</si>
  <si>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</si>
  <si>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</si>
  <si>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</si>
  <si>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</si>
  <si>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</si>
  <si>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</si>
  <si>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</si>
  <si>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</si>
  <si>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</si>
  <si>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</si>
  <si>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</si>
  <si>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</si>
  <si>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</si>
  <si>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</si>
  <si>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</si>
  <si>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</si>
  <si>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</si>
  <si>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</si>
  <si>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</si>
  <si>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</si>
  <si>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</si>
  <si>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</si>
  <si>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</si>
  <si>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</si>
  <si>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</si>
  <si>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</si>
  <si>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</si>
  <si>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</si>
  <si>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</si>
  <si>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</si>
  <si>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</si>
  <si>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</si>
  <si>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</si>
  <si>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</si>
  <si>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</si>
  <si>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</si>
  <si>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</si>
  <si>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</si>
  <si>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</si>
  <si>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</si>
  <si>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</si>
  <si>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</si>
  <si>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</si>
  <si>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</si>
  <si>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</si>
  <si>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</si>
  <si>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</si>
  <si>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</si>
  <si>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</si>
  <si>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</si>
  <si>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</si>
  <si>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</si>
  <si>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</si>
  <si>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</si>
  <si>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</si>
  <si>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</si>
  <si>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</si>
  <si>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</si>
  <si>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</si>
  <si>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</si>
  <si>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</si>
  <si>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</si>
  <si>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</si>
  <si>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</si>
  <si>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</si>
  <si>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</si>
  <si>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</si>
  <si>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</si>
  <si>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</si>
  <si>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</si>
  <si>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</si>
  <si>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</si>
  <si>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</si>
  <si>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</si>
  <si>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</si>
  <si>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</si>
  <si>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</si>
  <si>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</si>
  <si>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</si>
  <si>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</si>
  <si>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</si>
  <si>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</si>
  <si>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</si>
  <si>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</si>
  <si>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</si>
  <si>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</si>
  <si>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</si>
  <si>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</si>
  <si>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</si>
  <si>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</si>
  <si>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</si>
  <si>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</si>
  <si>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</si>
  <si>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</si>
  <si>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</si>
  <si>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</si>
  <si>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</si>
  <si>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</si>
  <si>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</si>
  <si>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</si>
  <si>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</si>
  <si>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</si>
  <si>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</si>
  <si>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</si>
  <si>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</si>
  <si>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</si>
  <si>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</si>
  <si>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</si>
  <si>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</si>
  <si>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</si>
  <si>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</si>
  <si>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</si>
  <si>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</si>
  <si>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</si>
  <si>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</si>
  <si>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</si>
  <si>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</si>
  <si>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</si>
  <si>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</si>
  <si>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</si>
  <si>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</si>
  <si>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</si>
  <si>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</si>
  <si>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</si>
  <si>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</si>
  <si>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</si>
  <si>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</si>
  <si>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</si>
  <si>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</si>
  <si>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</si>
  <si>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</si>
  <si>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</si>
  <si>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</si>
  <si>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</si>
  <si>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</si>
  <si>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</si>
  <si>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</si>
  <si>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</si>
  <si>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</si>
  <si>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</si>
  <si>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</si>
  <si>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</si>
  <si>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</si>
  <si>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</si>
  <si>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</si>
  <si>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</si>
  <si>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</si>
  <si>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</si>
  <si>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</si>
  <si>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</si>
  <si>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</si>
  <si>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</si>
  <si>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</si>
  <si>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</si>
  <si>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</si>
  <si>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</si>
  <si>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</si>
  <si>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</si>
  <si>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</si>
  <si>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</si>
  <si>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</si>
  <si>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</si>
  <si>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</si>
  <si>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</si>
  <si>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</si>
  <si>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</si>
  <si>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</si>
  <si>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</si>
  <si>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</si>
  <si>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</si>
  <si>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</si>
  <si>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</si>
  <si>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</si>
  <si>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</si>
  <si>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</si>
  <si>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</si>
  <si>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</si>
  <si>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</si>
  <si>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</si>
  <si>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</si>
  <si>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</si>
  <si>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</si>
  <si>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</si>
  <si>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</si>
  <si>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</si>
  <si>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</si>
  <si>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</si>
  <si>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</si>
  <si>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</si>
  <si>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</si>
  <si>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</si>
  <si>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</si>
  <si>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</si>
  <si>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</si>
  <si>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</si>
  <si>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</si>
  <si>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</si>
  <si>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</si>
  <si>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</si>
  <si>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</si>
  <si>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</si>
  <si>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</si>
  <si>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</si>
  <si>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</si>
  <si>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</si>
  <si>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</si>
  <si>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</si>
  <si>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</si>
  <si>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</si>
  <si>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</si>
  <si>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</si>
  <si>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</si>
  <si>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</si>
  <si>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</si>
  <si>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</si>
  <si>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</si>
  <si>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</si>
  <si>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</si>
  <si>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</si>
  <si>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</si>
  <si>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</si>
  <si>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</si>
  <si>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</si>
  <si>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</si>
  <si>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</si>
  <si>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</si>
  <si>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</si>
  <si>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</si>
  <si>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</si>
  <si>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</si>
  <si>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</si>
  <si>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</si>
  <si>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</si>
  <si>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</si>
  <si>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</si>
  <si>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</si>
  <si>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</si>
  <si>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</si>
  <si>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</si>
  <si>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</si>
  <si>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</si>
  <si>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</si>
  <si>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</si>
  <si>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</si>
  <si>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</si>
  <si>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</si>
  <si>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</si>
  <si>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</si>
  <si>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</si>
  <si>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</si>
  <si>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</si>
  <si>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</si>
  <si>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</si>
  <si>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</si>
  <si>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</si>
  <si>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</si>
  <si>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</si>
  <si>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</si>
  <si>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</si>
  <si>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</si>
  <si>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</si>
  <si>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</si>
  <si>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</si>
  <si>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</si>
  <si>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</si>
  <si>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</si>
  <si>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</si>
  <si>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</si>
  <si>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</si>
  <si>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</si>
  <si>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</si>
  <si>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</si>
  <si>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</si>
  <si>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</si>
  <si>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</si>
  <si>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</si>
  <si>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</si>
  <si>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</si>
  <si>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</si>
  <si>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</si>
  <si>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</si>
  <si>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</si>
  <si>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</si>
  <si>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</si>
  <si>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</si>
  <si>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</si>
  <si>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</si>
  <si>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</si>
  <si>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</si>
  <si>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</si>
  <si>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</si>
  <si>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</si>
  <si>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</si>
  <si>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</si>
  <si>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</si>
  <si>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</si>
  <si>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</si>
  <si>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</si>
  <si>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</si>
  <si>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</si>
  <si>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</si>
  <si>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</si>
  <si>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</si>
  <si>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</si>
  <si>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</si>
  <si>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</si>
  <si>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</si>
  <si>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</si>
  <si>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</si>
  <si>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</si>
  <si>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</si>
  <si>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</si>
  <si>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</si>
  <si>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</si>
  <si>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</si>
  <si>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</si>
  <si>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</si>
  <si>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</si>
  <si>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</si>
  <si>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</si>
  <si>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</si>
  <si>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</si>
  <si>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</si>
  <si>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</si>
  <si>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</si>
  <si>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</si>
  <si>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</si>
  <si>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</si>
  <si>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</si>
  <si>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</si>
  <si>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</si>
  <si>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</si>
  <si>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</si>
  <si>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</si>
  <si>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</si>
  <si>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</si>
  <si>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</si>
  <si>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</si>
  <si>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</si>
  <si>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</si>
  <si>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</si>
  <si>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</si>
  <si>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</si>
  <si>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</si>
  <si>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</si>
  <si>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</si>
  <si>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</si>
  <si>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</si>
  <si>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</si>
  <si>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</si>
  <si>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</si>
  <si>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</si>
  <si>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</si>
  <si>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</si>
  <si>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</si>
  <si>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</si>
  <si>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</si>
  <si>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</si>
  <si>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</si>
  <si>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</si>
  <si>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</si>
  <si>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</si>
  <si>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</si>
  <si>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</si>
  <si>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</si>
  <si>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</si>
  <si>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</si>
  <si>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</si>
  <si>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</si>
  <si>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</si>
  <si>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</si>
  <si>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</si>
  <si>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</si>
  <si>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</si>
  <si>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</si>
  <si>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</si>
  <si>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</si>
  <si>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</si>
  <si>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</si>
  <si>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</si>
  <si>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</si>
  <si>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</si>
  <si>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</si>
  <si>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</si>
  <si>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</si>
  <si>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</si>
  <si>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</si>
  <si>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</si>
  <si>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</si>
  <si>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</si>
  <si>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</si>
  <si>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</si>
  <si>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</si>
  <si>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</si>
  <si>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</si>
  <si>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</si>
  <si>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</si>
  <si>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</si>
  <si>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</si>
  <si>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</si>
  <si>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</si>
  <si>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</si>
  <si>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</si>
  <si>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</si>
  <si>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</si>
  <si>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</si>
  <si>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</si>
  <si>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</si>
  <si>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</si>
  <si>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</si>
  <si>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</si>
  <si>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</si>
  <si>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</si>
  <si>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</si>
  <si>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</si>
  <si>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δυσνόητο</t>
  </si>
  <si>
    <t>κατανοητό</t>
  </si>
  <si>
    <t>δημιουργικό</t>
  </si>
  <si>
    <t>αναποτελεσματικό</t>
  </si>
  <si>
    <t>εύκολο στη μάθηση</t>
  </si>
  <si>
    <t>δύσκολο στη μάθηση</t>
  </si>
  <si>
    <t>πολύτιμο</t>
  </si>
  <si>
    <t>υποδεέστερο</t>
  </si>
  <si>
    <t>βαρετό</t>
  </si>
  <si>
    <t>συναρπαστικό</t>
  </si>
  <si>
    <t>αδιάφορο</t>
  </si>
  <si>
    <t>ενδιαφέρον</t>
  </si>
  <si>
    <t>απρόβλεπτο</t>
  </si>
  <si>
    <t>προβλέψιμο</t>
  </si>
  <si>
    <t>γρήγορο</t>
  </si>
  <si>
    <t>αργό</t>
  </si>
  <si>
    <t>εφευρετικό</t>
  </si>
  <si>
    <t>συμβατικό</t>
  </si>
  <si>
    <t>παρελκυστικό</t>
  </si>
  <si>
    <t>υποστηρικτικό</t>
  </si>
  <si>
    <t>καλό</t>
  </si>
  <si>
    <t>κακό</t>
  </si>
  <si>
    <t>περίπλοκο</t>
  </si>
  <si>
    <t>εύκολο</t>
  </si>
  <si>
    <t>αντιπαθητικό</t>
  </si>
  <si>
    <t>συμπαθητικό</t>
  </si>
  <si>
    <t>συνηθισμένο</t>
  </si>
  <si>
    <t>πρωτοπόρο</t>
  </si>
  <si>
    <t>δυσάρεστο</t>
  </si>
  <si>
    <t>ευχάριστο</t>
  </si>
  <si>
    <t>ασφαλές</t>
  </si>
  <si>
    <t>ανασφαλές</t>
  </si>
  <si>
    <t>ενθαρρυντικό</t>
  </si>
  <si>
    <t>αποθαρρυντικό</t>
  </si>
  <si>
    <t>ανταποκρίνεται στις προσδοκίες</t>
  </si>
  <si>
    <t>δεν ανταποκρίνεται στις προσδοκίες</t>
  </si>
  <si>
    <t>ανεπαρκές</t>
  </si>
  <si>
    <t>επαρκές</t>
  </si>
  <si>
    <t>σαφές</t>
  </si>
  <si>
    <t>μπερδεμένο</t>
  </si>
  <si>
    <t>μη πρακτικό</t>
  </si>
  <si>
    <t>πρακτικό</t>
  </si>
  <si>
    <t>οργανωμένο</t>
  </si>
  <si>
    <t>ανοργάνωτο</t>
  </si>
  <si>
    <t>ελκυστικό</t>
  </si>
  <si>
    <t>απωθητικό</t>
  </si>
  <si>
    <t>φιλικό</t>
  </si>
  <si>
    <t>εχθρικό</t>
  </si>
  <si>
    <t>συντηρητικό</t>
  </si>
  <si>
    <t>καινοτόμο</t>
  </si>
  <si>
    <t>Greek</t>
  </si>
  <si>
    <t>ελκυστικότητα</t>
  </si>
  <si>
    <t>Ευκρίνεια</t>
  </si>
  <si>
    <t>Αποδοτικότητα</t>
  </si>
  <si>
    <t>Αξιοπιστία</t>
  </si>
  <si>
    <t>Διέγερση</t>
  </si>
  <si>
    <t>Καινοτομία</t>
  </si>
  <si>
    <t>ρεαλιστική ποιότητα</t>
  </si>
  <si>
    <t>ηδονική ποιότητας</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</si>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</sst>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1">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s>
  <fills count="11">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s>
  <cellStyleXfs count="1">
    <xf numFmtId="0" fontId="0" fillId="0" borderId="0"/>
  </cellStyleXfs>
  <cellXfs count="175">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Results!$B$3:$B$28</c:f>
              <c:numCache>
                <c:formatCode>0.0</c:formatCode>
                <c:ptCount val="26"/>
                <c:pt idx="0">
                  <c:v>2.1111111111111112</c:v>
                </c:pt>
                <c:pt idx="1">
                  <c:v>1.4444444444444444</c:v>
                </c:pt>
                <c:pt idx="2">
                  <c:v>0.33333333333333331</c:v>
                </c:pt>
                <c:pt idx="3">
                  <c:v>2</c:v>
                </c:pt>
                <c:pt idx="4">
                  <c:v>2.1111111111111112</c:v>
                </c:pt>
                <c:pt idx="5">
                  <c:v>0.77777777777777779</c:v>
                </c:pt>
                <c:pt idx="6">
                  <c:v>1.6666666666666667</c:v>
                </c:pt>
                <c:pt idx="7">
                  <c:v>1.3333333333333333</c:v>
                </c:pt>
                <c:pt idx="8">
                  <c:v>1.3333333333333333</c:v>
                </c:pt>
                <c:pt idx="9">
                  <c:v>1</c:v>
                </c:pt>
                <c:pt idx="10">
                  <c:v>2</c:v>
                </c:pt>
                <c:pt idx="11">
                  <c:v>2.1111111111111112</c:v>
                </c:pt>
                <c:pt idx="12">
                  <c:v>2.3333333333333335</c:v>
                </c:pt>
                <c:pt idx="13">
                  <c:v>1.8888888888888888</c:v>
                </c:pt>
                <c:pt idx="14">
                  <c:v>0.88888888888888884</c:v>
                </c:pt>
                <c:pt idx="15">
                  <c:v>1.6666666666666667</c:v>
                </c:pt>
                <c:pt idx="16">
                  <c:v>0.88888888888888884</c:v>
                </c:pt>
                <c:pt idx="17">
                  <c:v>1.3333333333333333</c:v>
                </c:pt>
                <c:pt idx="18">
                  <c:v>1.5555555555555556</c:v>
                </c:pt>
                <c:pt idx="19">
                  <c:v>1.6666666666666667</c:v>
                </c:pt>
                <c:pt idx="20">
                  <c:v>2.2222222222222223</c:v>
                </c:pt>
                <c:pt idx="21">
                  <c:v>1.8888888888888888</c:v>
                </c:pt>
                <c:pt idx="22">
                  <c:v>2.5555555555555554</c:v>
                </c:pt>
                <c:pt idx="23">
                  <c:v>2</c:v>
                </c:pt>
                <c:pt idx="24">
                  <c:v>1.6666666666666667</c:v>
                </c:pt>
                <c:pt idx="25">
                  <c:v>1.3333333333333333</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0.38153595425840653</c:v>
                  </c:pt>
                  <c:pt idx="1">
                    <c:v>0.34647595608741932</c:v>
                  </c:pt>
                  <c:pt idx="2">
                    <c:v>0.40923221486843503</c:v>
                  </c:pt>
                  <c:pt idx="3">
                    <c:v>0.56448164194512973</c:v>
                  </c:pt>
                  <c:pt idx="4">
                    <c:v>0.37817624828557728</c:v>
                  </c:pt>
                  <c:pt idx="5">
                    <c:v>0.27221722007500754</c:v>
                  </c:pt>
                </c:numCache>
              </c:numRef>
            </c:plus>
            <c:minus>
              <c:numRef>
                <c:f>Confidence_Intervals!$M$5:$M$10</c:f>
                <c:numCache>
                  <c:formatCode>General</c:formatCode>
                  <c:ptCount val="6"/>
                  <c:pt idx="0">
                    <c:v>0.38153595425840653</c:v>
                  </c:pt>
                  <c:pt idx="1">
                    <c:v>0.34647595608741932</c:v>
                  </c:pt>
                  <c:pt idx="2">
                    <c:v>0.40923221486843503</c:v>
                  </c:pt>
                  <c:pt idx="3">
                    <c:v>0.56448164194512973</c:v>
                  </c:pt>
                  <c:pt idx="4">
                    <c:v>0.37817624828557728</c:v>
                  </c:pt>
                  <c:pt idx="5">
                    <c:v>0.27221722007500754</c:v>
                  </c:pt>
                </c:numCache>
              </c:numRef>
            </c:minus>
            <c:spPr>
              <a:ln w="19050">
                <a:solidFill>
                  <a:schemeClr val="tx1">
                    <a:lumMod val="85000"/>
                    <a:lumOff val="15000"/>
                  </a:schemeClr>
                </a:solidFill>
              </a:ln>
            </c:spPr>
          </c:errBars>
          <c:cat>
            <c:strRef>
              <c:f>Results!$K$3:$K$8</c:f>
              <c:strCache>
                <c:ptCount val="6"/>
                <c:pt idx="0">
                  <c:v>Attraction</c:v>
                </c:pt>
                <c:pt idx="1">
                  <c:v>Compréhensibilité</c:v>
                </c:pt>
                <c:pt idx="2">
                  <c:v>Efficacité</c:v>
                </c:pt>
                <c:pt idx="3">
                  <c:v>Contrôlabilité</c:v>
                </c:pt>
                <c:pt idx="4">
                  <c:v>Stimulation</c:v>
                </c:pt>
                <c:pt idx="5">
                  <c:v>Originalité</c:v>
                </c:pt>
              </c:strCache>
            </c:strRef>
          </c:cat>
          <c:val>
            <c:numRef>
              <c:f>Results!$L$3:$L$8</c:f>
              <c:numCache>
                <c:formatCode>0.000</c:formatCode>
                <c:ptCount val="6"/>
                <c:pt idx="0">
                  <c:v>1.9074074074074072</c:v>
                </c:pt>
                <c:pt idx="1">
                  <c:v>2</c:v>
                </c:pt>
                <c:pt idx="2">
                  <c:v>1.8611111111111112</c:v>
                </c:pt>
                <c:pt idx="3">
                  <c:v>1.4444444444444444</c:v>
                </c:pt>
                <c:pt idx="4">
                  <c:v>1.4722222222222223</c:v>
                </c:pt>
                <c:pt idx="5">
                  <c:v>0.88888888888888884</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Attraction</c:v>
                </c:pt>
                <c:pt idx="1">
                  <c:v>Compréhensibilité</c:v>
                </c:pt>
                <c:pt idx="2">
                  <c:v>Efficacité</c:v>
                </c:pt>
                <c:pt idx="3">
                  <c:v>Contrôlabilité</c:v>
                </c:pt>
                <c:pt idx="4">
                  <c:v>Stimulation</c:v>
                </c:pt>
                <c:pt idx="5">
                  <c:v>Originalité</c:v>
                </c:pt>
              </c:strCache>
            </c:strRef>
          </c:cat>
          <c:val>
            <c:numRef>
              <c:f>Results!$L$3:$L$8</c:f>
              <c:numCache>
                <c:formatCode>0.000</c:formatCode>
                <c:ptCount val="6"/>
                <c:pt idx="0">
                  <c:v>1.9074074074074072</c:v>
                </c:pt>
                <c:pt idx="1">
                  <c:v>2</c:v>
                </c:pt>
                <c:pt idx="2">
                  <c:v>1.8611111111111112</c:v>
                </c:pt>
                <c:pt idx="3">
                  <c:v>1.4444444444444444</c:v>
                </c:pt>
                <c:pt idx="4">
                  <c:v>1.4722222222222223</c:v>
                </c:pt>
                <c:pt idx="5">
                  <c:v>0.88888888888888884</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Attraction</c:v>
                </c:pt>
                <c:pt idx="1">
                  <c:v>Qualité Pragmatique</c:v>
                </c:pt>
                <c:pt idx="2">
                  <c:v>Qualité Hédonique</c:v>
                </c:pt>
              </c:strCache>
            </c:strRef>
          </c:cat>
          <c:val>
            <c:numRef>
              <c:f>Results!$L$40:$L$42</c:f>
              <c:numCache>
                <c:formatCode>0.00</c:formatCode>
                <c:ptCount val="3"/>
                <c:pt idx="0">
                  <c:v>1.9074074074074072</c:v>
                </c:pt>
                <c:pt idx="1">
                  <c:v>1.7685185185185184</c:v>
                </c:pt>
                <c:pt idx="2">
                  <c:v>1.1805555555555556</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Answer_Distributions!$D$3:$D$28</c:f>
              <c:numCache>
                <c:formatCode>General</c:formatCode>
                <c:ptCount val="26"/>
                <c:pt idx="0">
                  <c:v>0</c:v>
                </c:pt>
                <c:pt idx="1">
                  <c:v>0</c:v>
                </c:pt>
                <c:pt idx="2">
                  <c:v>1</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Answer_Distributions!$E$3:$E$28</c:f>
              <c:numCache>
                <c:formatCode>General</c:formatCode>
                <c:ptCount val="26"/>
                <c:pt idx="0">
                  <c:v>0</c:v>
                </c:pt>
                <c:pt idx="1">
                  <c:v>0</c:v>
                </c:pt>
                <c:pt idx="2">
                  <c:v>1</c:v>
                </c:pt>
                <c:pt idx="3">
                  <c:v>1</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pt idx="22">
                  <c:v>0</c:v>
                </c:pt>
                <c:pt idx="23">
                  <c:v>0</c:v>
                </c:pt>
                <c:pt idx="24">
                  <c:v>1</c:v>
                </c:pt>
                <c:pt idx="25">
                  <c:v>0</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Answer_Distributions!$F$3:$F$28</c:f>
              <c:numCache>
                <c:formatCode>General</c:formatCode>
                <c:ptCount val="26"/>
                <c:pt idx="0">
                  <c:v>0</c:v>
                </c:pt>
                <c:pt idx="1">
                  <c:v>0</c:v>
                </c:pt>
                <c:pt idx="2">
                  <c:v>2</c:v>
                </c:pt>
                <c:pt idx="3">
                  <c:v>0</c:v>
                </c:pt>
                <c:pt idx="4">
                  <c:v>0</c:v>
                </c:pt>
                <c:pt idx="5">
                  <c:v>4</c:v>
                </c:pt>
                <c:pt idx="6">
                  <c:v>0</c:v>
                </c:pt>
                <c:pt idx="7">
                  <c:v>2</c:v>
                </c:pt>
                <c:pt idx="8">
                  <c:v>0</c:v>
                </c:pt>
                <c:pt idx="9">
                  <c:v>2</c:v>
                </c:pt>
                <c:pt idx="10">
                  <c:v>0</c:v>
                </c:pt>
                <c:pt idx="11">
                  <c:v>0</c:v>
                </c:pt>
                <c:pt idx="12">
                  <c:v>0</c:v>
                </c:pt>
                <c:pt idx="13">
                  <c:v>1</c:v>
                </c:pt>
                <c:pt idx="14">
                  <c:v>4</c:v>
                </c:pt>
                <c:pt idx="15">
                  <c:v>0</c:v>
                </c:pt>
                <c:pt idx="16">
                  <c:v>4</c:v>
                </c:pt>
                <c:pt idx="17">
                  <c:v>2</c:v>
                </c:pt>
                <c:pt idx="18">
                  <c:v>0</c:v>
                </c:pt>
                <c:pt idx="19">
                  <c:v>0</c:v>
                </c:pt>
                <c:pt idx="20">
                  <c:v>0</c:v>
                </c:pt>
                <c:pt idx="21">
                  <c:v>0</c:v>
                </c:pt>
                <c:pt idx="22">
                  <c:v>0</c:v>
                </c:pt>
                <c:pt idx="23">
                  <c:v>0</c:v>
                </c:pt>
                <c:pt idx="24">
                  <c:v>1</c:v>
                </c:pt>
                <c:pt idx="25">
                  <c:v>1</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Answer_Distributions!$G$3:$G$28</c:f>
              <c:numCache>
                <c:formatCode>General</c:formatCode>
                <c:ptCount val="26"/>
                <c:pt idx="0">
                  <c:v>2</c:v>
                </c:pt>
                <c:pt idx="1">
                  <c:v>5</c:v>
                </c:pt>
                <c:pt idx="2">
                  <c:v>4</c:v>
                </c:pt>
                <c:pt idx="3">
                  <c:v>1</c:v>
                </c:pt>
                <c:pt idx="4">
                  <c:v>2</c:v>
                </c:pt>
                <c:pt idx="5">
                  <c:v>3</c:v>
                </c:pt>
                <c:pt idx="6">
                  <c:v>4</c:v>
                </c:pt>
                <c:pt idx="7">
                  <c:v>2</c:v>
                </c:pt>
                <c:pt idx="8">
                  <c:v>0</c:v>
                </c:pt>
                <c:pt idx="9">
                  <c:v>5</c:v>
                </c:pt>
                <c:pt idx="10">
                  <c:v>3</c:v>
                </c:pt>
                <c:pt idx="11">
                  <c:v>2</c:v>
                </c:pt>
                <c:pt idx="12">
                  <c:v>1</c:v>
                </c:pt>
                <c:pt idx="13">
                  <c:v>2</c:v>
                </c:pt>
                <c:pt idx="14">
                  <c:v>3</c:v>
                </c:pt>
                <c:pt idx="15">
                  <c:v>3</c:v>
                </c:pt>
                <c:pt idx="16">
                  <c:v>2</c:v>
                </c:pt>
                <c:pt idx="17">
                  <c:v>2</c:v>
                </c:pt>
                <c:pt idx="18">
                  <c:v>3</c:v>
                </c:pt>
                <c:pt idx="19">
                  <c:v>5</c:v>
                </c:pt>
                <c:pt idx="20">
                  <c:v>1</c:v>
                </c:pt>
                <c:pt idx="21">
                  <c:v>4</c:v>
                </c:pt>
                <c:pt idx="22">
                  <c:v>0</c:v>
                </c:pt>
                <c:pt idx="23">
                  <c:v>2</c:v>
                </c:pt>
                <c:pt idx="24">
                  <c:v>2</c:v>
                </c:pt>
                <c:pt idx="25">
                  <c:v>4</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Answer_Distributions!$H$3:$H$28</c:f>
              <c:numCache>
                <c:formatCode>General</c:formatCode>
                <c:ptCount val="26"/>
                <c:pt idx="0">
                  <c:v>4</c:v>
                </c:pt>
                <c:pt idx="1">
                  <c:v>4</c:v>
                </c:pt>
                <c:pt idx="2">
                  <c:v>1</c:v>
                </c:pt>
                <c:pt idx="3">
                  <c:v>3</c:v>
                </c:pt>
                <c:pt idx="4">
                  <c:v>4</c:v>
                </c:pt>
                <c:pt idx="5">
                  <c:v>2</c:v>
                </c:pt>
                <c:pt idx="6">
                  <c:v>4</c:v>
                </c:pt>
                <c:pt idx="7">
                  <c:v>1</c:v>
                </c:pt>
                <c:pt idx="8">
                  <c:v>4</c:v>
                </c:pt>
                <c:pt idx="9">
                  <c:v>2</c:v>
                </c:pt>
                <c:pt idx="10">
                  <c:v>3</c:v>
                </c:pt>
                <c:pt idx="11">
                  <c:v>4</c:v>
                </c:pt>
                <c:pt idx="12">
                  <c:v>4</c:v>
                </c:pt>
                <c:pt idx="13">
                  <c:v>3</c:v>
                </c:pt>
                <c:pt idx="14">
                  <c:v>1</c:v>
                </c:pt>
                <c:pt idx="15">
                  <c:v>6</c:v>
                </c:pt>
                <c:pt idx="16">
                  <c:v>3</c:v>
                </c:pt>
                <c:pt idx="17">
                  <c:v>5</c:v>
                </c:pt>
                <c:pt idx="18">
                  <c:v>3</c:v>
                </c:pt>
                <c:pt idx="19">
                  <c:v>2</c:v>
                </c:pt>
                <c:pt idx="20">
                  <c:v>5</c:v>
                </c:pt>
                <c:pt idx="21">
                  <c:v>2</c:v>
                </c:pt>
                <c:pt idx="22">
                  <c:v>4</c:v>
                </c:pt>
                <c:pt idx="23">
                  <c:v>5</c:v>
                </c:pt>
                <c:pt idx="24">
                  <c:v>1</c:v>
                </c:pt>
                <c:pt idx="25">
                  <c:v>4</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Agaçant/Agréable</c:v>
                </c:pt>
                <c:pt idx="1">
                  <c:v>Incompréhensible/Compréhensible</c:v>
                </c:pt>
                <c:pt idx="2">
                  <c:v>Sans fantaisie/Moderne</c:v>
                </c:pt>
                <c:pt idx="3">
                  <c:v>Appropriation compliquée/Appropriation simple</c:v>
                </c:pt>
                <c:pt idx="4">
                  <c:v>Peu de valeur ajoutée/Apporte de la valeur</c:v>
                </c:pt>
                <c:pt idx="5">
                  <c:v>Ennuyeux/Captivant</c:v>
                </c:pt>
                <c:pt idx="6">
                  <c:v>Inintéressant/Intéressant</c:v>
                </c:pt>
                <c:pt idx="7">
                  <c:v>Imprévisible/Prévisible</c:v>
                </c:pt>
                <c:pt idx="8">
                  <c:v>Lent/Rapide</c:v>
                </c:pt>
                <c:pt idx="9">
                  <c:v>Conventionnel/Original</c:v>
                </c:pt>
                <c:pt idx="10">
                  <c:v>Rigide/Facilitant</c:v>
                </c:pt>
                <c:pt idx="11">
                  <c:v>Médiocre/Bien</c:v>
                </c:pt>
                <c:pt idx="12">
                  <c:v>Compliqué/Simple</c:v>
                </c:pt>
                <c:pt idx="13">
                  <c:v>Repoussant/Attractif</c:v>
                </c:pt>
                <c:pt idx="14">
                  <c:v>Habituel/Avant-gardiste</c:v>
                </c:pt>
                <c:pt idx="15">
                  <c:v>Désagréable/Agréable</c:v>
                </c:pt>
                <c:pt idx="16">
                  <c:v>Insécurisant/Sécurisant</c:v>
                </c:pt>
                <c:pt idx="17">
                  <c:v>Soporifique/Stimulant</c:v>
                </c:pt>
                <c:pt idx="18">
                  <c:v>Ne répond pas aux attentes/Répond aux attentes</c:v>
                </c:pt>
                <c:pt idx="19">
                  <c:v>Inefficace/Efficace</c:v>
                </c:pt>
                <c:pt idx="20">
                  <c:v>Déroutant/Clair</c:v>
                </c:pt>
                <c:pt idx="21">
                  <c:v>Non pragmatique/Pragmatique </c:v>
                </c:pt>
                <c:pt idx="22">
                  <c:v>Surchargé/Sobre</c:v>
                </c:pt>
                <c:pt idx="23">
                  <c:v>Rébarbatif/Attrayant</c:v>
                </c:pt>
                <c:pt idx="24">
                  <c:v>Inamical/Sympathique</c:v>
                </c:pt>
                <c:pt idx="25">
                  <c:v>Conservateur/Innovant</c:v>
                </c:pt>
              </c:strCache>
            </c:strRef>
          </c:cat>
          <c:val>
            <c:numRef>
              <c:f>Answer_Distributions!$I$3:$I$28</c:f>
              <c:numCache>
                <c:formatCode>General</c:formatCode>
                <c:ptCount val="26"/>
                <c:pt idx="0">
                  <c:v>3</c:v>
                </c:pt>
                <c:pt idx="1">
                  <c:v>0</c:v>
                </c:pt>
                <c:pt idx="2">
                  <c:v>0</c:v>
                </c:pt>
                <c:pt idx="3">
                  <c:v>4</c:v>
                </c:pt>
                <c:pt idx="4">
                  <c:v>3</c:v>
                </c:pt>
                <c:pt idx="5">
                  <c:v>0</c:v>
                </c:pt>
                <c:pt idx="6">
                  <c:v>1</c:v>
                </c:pt>
                <c:pt idx="7">
                  <c:v>3</c:v>
                </c:pt>
                <c:pt idx="8">
                  <c:v>3</c:v>
                </c:pt>
                <c:pt idx="9">
                  <c:v>0</c:v>
                </c:pt>
                <c:pt idx="10">
                  <c:v>3</c:v>
                </c:pt>
                <c:pt idx="11">
                  <c:v>3</c:v>
                </c:pt>
                <c:pt idx="12">
                  <c:v>4</c:v>
                </c:pt>
                <c:pt idx="13">
                  <c:v>3</c:v>
                </c:pt>
                <c:pt idx="14">
                  <c:v>1</c:v>
                </c:pt>
                <c:pt idx="15">
                  <c:v>0</c:v>
                </c:pt>
                <c:pt idx="16">
                  <c:v>0</c:v>
                </c:pt>
                <c:pt idx="17">
                  <c:v>0</c:v>
                </c:pt>
                <c:pt idx="18">
                  <c:v>2</c:v>
                </c:pt>
                <c:pt idx="19">
                  <c:v>2</c:v>
                </c:pt>
                <c:pt idx="20">
                  <c:v>3</c:v>
                </c:pt>
                <c:pt idx="21">
                  <c:v>3</c:v>
                </c:pt>
                <c:pt idx="22">
                  <c:v>5</c:v>
                </c:pt>
                <c:pt idx="23">
                  <c:v>2</c:v>
                </c:pt>
                <c:pt idx="24">
                  <c:v>4</c:v>
                </c:pt>
                <c:pt idx="25">
                  <c:v>0</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Benchmark!$H$28:$H$33</c:f>
              <c:numCache>
                <c:formatCode>0.00</c:formatCode>
                <c:ptCount val="6"/>
                <c:pt idx="0">
                  <c:v>1.9074074074074072</c:v>
                </c:pt>
                <c:pt idx="1">
                  <c:v>2</c:v>
                </c:pt>
                <c:pt idx="2">
                  <c:v>1.8611111111111112</c:v>
                </c:pt>
                <c:pt idx="3">
                  <c:v>1.4444444444444444</c:v>
                </c:pt>
                <c:pt idx="4">
                  <c:v>1.4722222222222223</c:v>
                </c:pt>
                <c:pt idx="5">
                  <c:v>0.88888888888888884</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0.38153595425840653</c:v>
                  </c:pt>
                  <c:pt idx="1">
                    <c:v>0.34647595608741932</c:v>
                  </c:pt>
                  <c:pt idx="2">
                    <c:v>0.40923221486843503</c:v>
                  </c:pt>
                  <c:pt idx="3">
                    <c:v>0.56448164194512973</c:v>
                  </c:pt>
                  <c:pt idx="4">
                    <c:v>0.37817624828557728</c:v>
                  </c:pt>
                  <c:pt idx="5">
                    <c:v>0.27221722007500754</c:v>
                  </c:pt>
                </c:numCache>
              </c:numRef>
            </c:plus>
            <c:minus>
              <c:numRef>
                <c:f>Confidence_Intervals!$M$5:$M$10</c:f>
                <c:numCache>
                  <c:formatCode>General</c:formatCode>
                  <c:ptCount val="6"/>
                  <c:pt idx="0">
                    <c:v>0.38153595425840653</c:v>
                  </c:pt>
                  <c:pt idx="1">
                    <c:v>0.34647595608741932</c:v>
                  </c:pt>
                  <c:pt idx="2">
                    <c:v>0.40923221486843503</c:v>
                  </c:pt>
                  <c:pt idx="3">
                    <c:v>0.56448164194512973</c:v>
                  </c:pt>
                  <c:pt idx="4">
                    <c:v>0.37817624828557728</c:v>
                  </c:pt>
                  <c:pt idx="5">
                    <c:v>0.27221722007500754</c:v>
                  </c:pt>
                </c:numCache>
              </c:numRef>
            </c:minus>
            <c:spPr>
              <a:ln w="25400"/>
            </c:spPr>
          </c:errBars>
          <c:cat>
            <c:strRef>
              <c:f>Benchmark!$A$28:$A$33</c:f>
              <c:strCache>
                <c:ptCount val="6"/>
                <c:pt idx="0">
                  <c:v>Attraction</c:v>
                </c:pt>
                <c:pt idx="1">
                  <c:v>Compréhensibilité</c:v>
                </c:pt>
                <c:pt idx="2">
                  <c:v>Efficacité</c:v>
                </c:pt>
                <c:pt idx="3">
                  <c:v>Contrôlabilité</c:v>
                </c:pt>
                <c:pt idx="4">
                  <c:v>Stimulation</c:v>
                </c:pt>
                <c:pt idx="5">
                  <c:v>Originalité</c:v>
                </c:pt>
              </c:strCache>
            </c:strRef>
          </c:cat>
          <c:val>
            <c:numRef>
              <c:f>Benchmark!$H$28:$H$33</c:f>
              <c:numCache>
                <c:formatCode>0.00</c:formatCode>
                <c:ptCount val="6"/>
                <c:pt idx="0">
                  <c:v>1.9074074074074072</c:v>
                </c:pt>
                <c:pt idx="1">
                  <c:v>2</c:v>
                </c:pt>
                <c:pt idx="2">
                  <c:v>1.8611111111111112</c:v>
                </c:pt>
                <c:pt idx="3">
                  <c:v>1.4444444444444444</c:v>
                </c:pt>
                <c:pt idx="4">
                  <c:v>1.4722222222222223</c:v>
                </c:pt>
                <c:pt idx="5">
                  <c:v>0.88888888888888884</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Attraction</c:v>
                </c:pt>
                <c:pt idx="1">
                  <c:v>Compréhensibilité</c:v>
                </c:pt>
                <c:pt idx="2">
                  <c:v>Efficacité</c:v>
                </c:pt>
                <c:pt idx="3">
                  <c:v>Contrôlabilité</c:v>
                </c:pt>
                <c:pt idx="4">
                  <c:v>Stimulation</c:v>
                </c:pt>
                <c:pt idx="5">
                  <c:v>Originalité</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workbookViewId="0">
      <selection activeCell="A3" sqref="A3:C3"/>
    </sheetView>
  </sheetViews>
  <sheetFormatPr baseColWidth="10" defaultColWidth="9.1640625" defaultRowHeight="15"/>
  <cols>
    <col min="1" max="1" width="35.1640625" customWidth="1"/>
    <col min="2" max="2" width="22" customWidth="1"/>
    <col min="3" max="3" width="43" customWidth="1"/>
  </cols>
  <sheetData>
    <row r="1" spans="1:3" ht="57" customHeight="1">
      <c r="A1" s="142"/>
      <c r="B1" s="142"/>
      <c r="C1" s="142"/>
    </row>
    <row r="2" spans="1:3" ht="58.75" customHeight="1">
      <c r="A2" s="138" t="s">
        <v>1291</v>
      </c>
      <c r="B2" s="138"/>
      <c r="C2" s="138"/>
    </row>
    <row r="3" spans="1:3" ht="107.25" customHeight="1">
      <c r="A3" s="139" t="s">
        <v>1280</v>
      </c>
      <c r="B3" s="139"/>
      <c r="C3" s="139"/>
    </row>
    <row r="5" spans="1:3" ht="19">
      <c r="A5" s="26" t="s">
        <v>818</v>
      </c>
      <c r="B5" s="51" t="s">
        <v>246</v>
      </c>
    </row>
    <row r="7" spans="1:3" ht="30.75" customHeight="1">
      <c r="A7" s="140" t="s">
        <v>1290</v>
      </c>
      <c r="B7" s="140"/>
      <c r="C7" s="140"/>
    </row>
    <row r="9" spans="1:3" ht="406.25" customHeight="1">
      <c r="A9" s="141" t="s">
        <v>1289</v>
      </c>
      <c r="B9" s="141"/>
      <c r="C9" s="141"/>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200" zoomScaleNormal="100" workbookViewId="0">
      <selection activeCell="R10" sqref="R10"/>
    </sheetView>
  </sheetViews>
  <sheetFormatPr baseColWidth="10" defaultColWidth="9.1640625" defaultRowHeight="15"/>
  <cols>
    <col min="1" max="26" width="3.6640625" style="1" customWidth="1"/>
  </cols>
  <sheetData>
    <row r="1" spans="1:27" ht="144" customHeight="1">
      <c r="A1" s="143" t="s">
        <v>1281</v>
      </c>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2" spans="1:27">
      <c r="A2" s="145" t="s">
        <v>0</v>
      </c>
      <c r="B2" s="145"/>
      <c r="C2" s="145"/>
      <c r="D2" s="145"/>
      <c r="E2" s="145"/>
      <c r="F2" s="145"/>
      <c r="G2" s="145"/>
      <c r="H2" s="145"/>
      <c r="I2" s="145"/>
      <c r="J2" s="145"/>
      <c r="K2" s="145"/>
      <c r="L2" s="145"/>
      <c r="M2" s="145"/>
      <c r="N2" s="145"/>
      <c r="O2" s="145"/>
      <c r="P2" s="145"/>
      <c r="Q2" s="145"/>
      <c r="R2" s="145"/>
      <c r="S2" s="145"/>
      <c r="T2" s="145"/>
      <c r="U2" s="145"/>
      <c r="V2" s="145"/>
      <c r="W2" s="145"/>
      <c r="X2" s="145"/>
      <c r="Y2" s="145"/>
      <c r="Z2" s="145"/>
    </row>
    <row r="3" spans="1:27">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c r="A4" s="52">
        <v>6</v>
      </c>
      <c r="B4" s="52">
        <v>5</v>
      </c>
      <c r="C4" s="52">
        <v>2</v>
      </c>
      <c r="D4" s="52">
        <v>5</v>
      </c>
      <c r="E4" s="52">
        <v>1</v>
      </c>
      <c r="F4" s="52">
        <v>5</v>
      </c>
      <c r="G4" s="52">
        <v>7</v>
      </c>
      <c r="H4" s="52">
        <v>7</v>
      </c>
      <c r="I4" s="52">
        <v>1</v>
      </c>
      <c r="J4" s="52">
        <v>3</v>
      </c>
      <c r="K4" s="52">
        <v>6</v>
      </c>
      <c r="L4" s="52">
        <v>2</v>
      </c>
      <c r="M4" s="52">
        <v>6</v>
      </c>
      <c r="N4" s="52">
        <v>5</v>
      </c>
      <c r="O4" s="52">
        <v>4</v>
      </c>
      <c r="P4" s="52">
        <v>5</v>
      </c>
      <c r="Q4" s="52">
        <v>3</v>
      </c>
      <c r="R4" s="52">
        <v>2</v>
      </c>
      <c r="S4" s="52">
        <v>2</v>
      </c>
      <c r="T4" s="52">
        <v>6</v>
      </c>
      <c r="U4" s="52">
        <v>2</v>
      </c>
      <c r="V4" s="52">
        <v>5</v>
      </c>
      <c r="W4" s="52">
        <v>1</v>
      </c>
      <c r="X4" s="52">
        <v>2</v>
      </c>
      <c r="Y4" s="52">
        <v>3</v>
      </c>
      <c r="Z4" s="52">
        <v>5</v>
      </c>
    </row>
    <row r="5" spans="1:27">
      <c r="A5" s="47">
        <v>7</v>
      </c>
      <c r="B5" s="47">
        <v>6</v>
      </c>
      <c r="C5" s="47">
        <v>3</v>
      </c>
      <c r="D5" s="47">
        <v>2</v>
      </c>
      <c r="E5" s="47">
        <v>2</v>
      </c>
      <c r="F5" s="47">
        <v>5</v>
      </c>
      <c r="G5" s="47">
        <v>5</v>
      </c>
      <c r="H5" s="47">
        <v>5</v>
      </c>
      <c r="I5" s="47">
        <v>2</v>
      </c>
      <c r="J5" s="47">
        <v>3</v>
      </c>
      <c r="K5" s="47">
        <v>5</v>
      </c>
      <c r="L5" s="47">
        <v>2</v>
      </c>
      <c r="M5" s="47">
        <v>6</v>
      </c>
      <c r="N5" s="47">
        <v>6</v>
      </c>
      <c r="O5" s="47">
        <v>5</v>
      </c>
      <c r="P5" s="47">
        <v>6</v>
      </c>
      <c r="Q5" s="47">
        <v>3</v>
      </c>
      <c r="R5" s="47">
        <v>2</v>
      </c>
      <c r="S5" s="47">
        <v>3</v>
      </c>
      <c r="T5" s="47">
        <v>5</v>
      </c>
      <c r="U5" s="47">
        <v>2</v>
      </c>
      <c r="V5" s="47">
        <v>6</v>
      </c>
      <c r="W5" s="47">
        <v>2</v>
      </c>
      <c r="X5" s="47">
        <v>2</v>
      </c>
      <c r="Y5" s="47">
        <v>2</v>
      </c>
      <c r="Z5" s="47">
        <v>5</v>
      </c>
    </row>
    <row r="6" spans="1:27">
      <c r="A6" s="47">
        <v>5</v>
      </c>
      <c r="B6" s="47">
        <v>5</v>
      </c>
      <c r="C6" s="47">
        <v>3</v>
      </c>
      <c r="D6" s="1">
        <v>1</v>
      </c>
      <c r="E6" s="47">
        <v>2</v>
      </c>
      <c r="F6" s="47">
        <v>6</v>
      </c>
      <c r="G6" s="47">
        <v>6</v>
      </c>
      <c r="H6" s="47">
        <v>3</v>
      </c>
      <c r="I6" s="47">
        <v>6</v>
      </c>
      <c r="J6" s="47">
        <v>3</v>
      </c>
      <c r="K6" s="47">
        <v>7</v>
      </c>
      <c r="L6" s="47">
        <v>2</v>
      </c>
      <c r="M6" s="47">
        <v>6</v>
      </c>
      <c r="N6" s="47">
        <v>6</v>
      </c>
      <c r="O6" s="47">
        <v>5</v>
      </c>
      <c r="P6" s="47">
        <v>6</v>
      </c>
      <c r="Q6" s="47">
        <v>4</v>
      </c>
      <c r="R6" s="47">
        <v>2</v>
      </c>
      <c r="S6" s="47">
        <v>2</v>
      </c>
      <c r="T6" s="47">
        <v>5</v>
      </c>
      <c r="U6" s="47">
        <v>3</v>
      </c>
      <c r="V6" s="47">
        <v>5</v>
      </c>
      <c r="W6" s="47">
        <v>1</v>
      </c>
      <c r="X6" s="47">
        <v>2</v>
      </c>
      <c r="Y6" s="47">
        <v>3</v>
      </c>
      <c r="Z6" s="47">
        <v>5</v>
      </c>
    </row>
    <row r="7" spans="1:27">
      <c r="A7" s="47">
        <v>7</v>
      </c>
      <c r="B7" s="47">
        <v>5</v>
      </c>
      <c r="C7" s="47">
        <v>3</v>
      </c>
      <c r="D7" s="47">
        <v>1</v>
      </c>
      <c r="E7" s="47">
        <v>1</v>
      </c>
      <c r="F7" s="47">
        <v>5</v>
      </c>
      <c r="G7" s="47">
        <v>6</v>
      </c>
      <c r="H7" s="47">
        <v>7</v>
      </c>
      <c r="I7" s="47">
        <v>7</v>
      </c>
      <c r="J7" s="47">
        <v>4</v>
      </c>
      <c r="K7" s="47">
        <v>7</v>
      </c>
      <c r="L7" s="47">
        <v>1</v>
      </c>
      <c r="M7" s="47">
        <v>7</v>
      </c>
      <c r="N7" s="47">
        <v>7</v>
      </c>
      <c r="O7" s="47">
        <v>4</v>
      </c>
      <c r="P7" s="47">
        <v>6</v>
      </c>
      <c r="Q7" s="47">
        <v>2</v>
      </c>
      <c r="R7" s="47">
        <v>4</v>
      </c>
      <c r="S7" s="47">
        <v>1</v>
      </c>
      <c r="T7" s="47">
        <v>7</v>
      </c>
      <c r="U7" s="47">
        <v>1</v>
      </c>
      <c r="V7" s="47">
        <v>7</v>
      </c>
      <c r="W7" s="47">
        <v>1</v>
      </c>
      <c r="X7" s="47">
        <v>2</v>
      </c>
      <c r="Y7" s="47">
        <v>1</v>
      </c>
      <c r="Z7" s="47">
        <v>6</v>
      </c>
    </row>
    <row r="8" spans="1:27">
      <c r="A8" s="47">
        <v>6</v>
      </c>
      <c r="B8" s="47">
        <v>6</v>
      </c>
      <c r="C8" s="47">
        <v>5</v>
      </c>
      <c r="D8" s="47">
        <v>1</v>
      </c>
      <c r="E8" s="47">
        <v>2</v>
      </c>
      <c r="F8" s="47">
        <v>6</v>
      </c>
      <c r="G8" s="47">
        <v>6</v>
      </c>
      <c r="H8" s="47">
        <v>4</v>
      </c>
      <c r="I8" s="47">
        <v>2</v>
      </c>
      <c r="J8" s="47">
        <v>3</v>
      </c>
      <c r="K8" s="47">
        <v>6</v>
      </c>
      <c r="L8" s="47">
        <v>2</v>
      </c>
      <c r="M8" s="47">
        <v>7</v>
      </c>
      <c r="N8" s="47">
        <v>6</v>
      </c>
      <c r="O8" s="47">
        <v>4</v>
      </c>
      <c r="P8" s="47">
        <v>5</v>
      </c>
      <c r="Q8" s="47">
        <v>2</v>
      </c>
      <c r="R8" s="47">
        <v>2</v>
      </c>
      <c r="S8" s="47">
        <v>3</v>
      </c>
      <c r="T8" s="47">
        <v>5</v>
      </c>
      <c r="U8" s="47">
        <v>1</v>
      </c>
      <c r="V8" s="47">
        <v>5</v>
      </c>
      <c r="W8" s="47">
        <v>2</v>
      </c>
      <c r="X8" s="47">
        <v>1</v>
      </c>
      <c r="Y8" s="47">
        <v>1</v>
      </c>
      <c r="Z8" s="47">
        <v>4</v>
      </c>
    </row>
    <row r="9" spans="1:27">
      <c r="A9" s="47">
        <v>7</v>
      </c>
      <c r="B9" s="47">
        <v>5</v>
      </c>
      <c r="C9" s="47">
        <v>4</v>
      </c>
      <c r="D9" s="47">
        <v>1</v>
      </c>
      <c r="E9" s="47">
        <v>2</v>
      </c>
      <c r="F9" s="47">
        <v>4</v>
      </c>
      <c r="G9" s="47">
        <v>6</v>
      </c>
      <c r="H9" s="47">
        <v>5</v>
      </c>
      <c r="I9" s="47">
        <v>1</v>
      </c>
      <c r="J9" s="47">
        <v>2</v>
      </c>
      <c r="K9" s="47">
        <v>6</v>
      </c>
      <c r="L9" s="47">
        <v>1</v>
      </c>
      <c r="M9" s="47">
        <v>6</v>
      </c>
      <c r="N9" s="47">
        <v>7</v>
      </c>
      <c r="O9" s="47">
        <v>6</v>
      </c>
      <c r="P9" s="47">
        <v>6</v>
      </c>
      <c r="Q9" s="47">
        <v>4</v>
      </c>
      <c r="R9" s="47">
        <v>3</v>
      </c>
      <c r="S9" s="47">
        <v>2</v>
      </c>
      <c r="T9" s="47">
        <v>5</v>
      </c>
      <c r="U9" s="47">
        <v>1</v>
      </c>
      <c r="V9" s="47">
        <v>7</v>
      </c>
      <c r="W9" s="47">
        <v>2</v>
      </c>
      <c r="X9" s="47">
        <v>2</v>
      </c>
      <c r="Y9" s="47">
        <v>1</v>
      </c>
      <c r="Z9" s="47">
        <v>6</v>
      </c>
    </row>
    <row r="10" spans="1:27">
      <c r="A10" s="47">
        <v>5</v>
      </c>
      <c r="B10" s="47">
        <v>6</v>
      </c>
      <c r="C10" s="47">
        <v>4</v>
      </c>
      <c r="D10" s="47">
        <v>3</v>
      </c>
      <c r="E10" s="47">
        <v>3</v>
      </c>
      <c r="F10" s="47">
        <v>4</v>
      </c>
      <c r="G10" s="47">
        <v>5</v>
      </c>
      <c r="H10" s="47">
        <v>4</v>
      </c>
      <c r="I10" s="47">
        <v>2</v>
      </c>
      <c r="J10" s="47">
        <v>3</v>
      </c>
      <c r="K10" s="47">
        <v>5</v>
      </c>
      <c r="L10" s="47">
        <v>3</v>
      </c>
      <c r="M10" s="47">
        <v>5</v>
      </c>
      <c r="N10" s="47">
        <v>4</v>
      </c>
      <c r="O10" s="47">
        <v>5</v>
      </c>
      <c r="P10" s="47">
        <v>6</v>
      </c>
      <c r="Q10" s="47">
        <v>4</v>
      </c>
      <c r="R10" s="47">
        <v>4</v>
      </c>
      <c r="S10" s="47">
        <v>3</v>
      </c>
      <c r="T10" s="47">
        <v>5</v>
      </c>
      <c r="U10" s="47">
        <v>2</v>
      </c>
      <c r="V10" s="47">
        <v>5</v>
      </c>
      <c r="W10" s="47">
        <v>2</v>
      </c>
      <c r="X10" s="47">
        <v>3</v>
      </c>
      <c r="Y10" s="47">
        <v>4</v>
      </c>
      <c r="Z10" s="47">
        <v>5</v>
      </c>
    </row>
    <row r="11" spans="1:27">
      <c r="A11" s="47">
        <v>6</v>
      </c>
      <c r="B11" s="47">
        <v>5</v>
      </c>
      <c r="C11" s="47">
        <v>3</v>
      </c>
      <c r="D11" s="47">
        <v>2</v>
      </c>
      <c r="E11" s="47">
        <v>3</v>
      </c>
      <c r="F11" s="47">
        <v>4</v>
      </c>
      <c r="G11" s="47">
        <v>5</v>
      </c>
      <c r="H11" s="47">
        <v>6</v>
      </c>
      <c r="I11" s="47">
        <v>1</v>
      </c>
      <c r="J11" s="47">
        <v>4</v>
      </c>
      <c r="K11" s="47">
        <v>5</v>
      </c>
      <c r="L11" s="47">
        <v>3</v>
      </c>
      <c r="M11" s="47">
        <v>7</v>
      </c>
      <c r="N11" s="47">
        <v>7</v>
      </c>
      <c r="O11" s="47">
        <v>4</v>
      </c>
      <c r="P11" s="47">
        <v>6</v>
      </c>
      <c r="Q11" s="47">
        <v>4</v>
      </c>
      <c r="R11" s="47">
        <v>3</v>
      </c>
      <c r="S11" s="47">
        <v>5</v>
      </c>
      <c r="T11" s="47">
        <v>6</v>
      </c>
      <c r="U11" s="47">
        <v>2</v>
      </c>
      <c r="V11" s="47">
        <v>7</v>
      </c>
      <c r="W11" s="47">
        <v>1</v>
      </c>
      <c r="X11" s="47">
        <v>1</v>
      </c>
      <c r="Y11" s="47">
        <v>5</v>
      </c>
      <c r="Z11" s="47">
        <v>6</v>
      </c>
    </row>
    <row r="12" spans="1:27">
      <c r="A12" s="47">
        <v>6</v>
      </c>
      <c r="B12" s="47">
        <v>6</v>
      </c>
      <c r="C12" s="47">
        <v>6</v>
      </c>
      <c r="D12" s="47">
        <v>2</v>
      </c>
      <c r="E12" s="47">
        <v>1</v>
      </c>
      <c r="F12" s="47">
        <v>4</v>
      </c>
      <c r="G12" s="47">
        <v>5</v>
      </c>
      <c r="H12" s="47">
        <v>7</v>
      </c>
      <c r="I12" s="47">
        <v>2</v>
      </c>
      <c r="J12" s="47">
        <v>2</v>
      </c>
      <c r="K12" s="47">
        <v>7</v>
      </c>
      <c r="L12" s="47">
        <v>1</v>
      </c>
      <c r="M12" s="47">
        <v>7</v>
      </c>
      <c r="N12" s="47">
        <v>5</v>
      </c>
      <c r="O12" s="47">
        <v>7</v>
      </c>
      <c r="P12" s="47">
        <v>5</v>
      </c>
      <c r="Q12" s="47">
        <v>2</v>
      </c>
      <c r="R12" s="47">
        <v>2</v>
      </c>
      <c r="S12" s="47">
        <v>1</v>
      </c>
      <c r="T12" s="47">
        <v>7</v>
      </c>
      <c r="U12" s="47">
        <v>2</v>
      </c>
      <c r="V12" s="47">
        <v>6</v>
      </c>
      <c r="W12" s="47">
        <v>1</v>
      </c>
      <c r="X12" s="47">
        <v>3</v>
      </c>
      <c r="Y12" s="47">
        <v>1</v>
      </c>
      <c r="Z12" s="47">
        <v>6</v>
      </c>
    </row>
    <row r="13" spans="1:27">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topLeftCell="A7" workbookViewId="0">
      <selection activeCell="G1004" sqref="G1004"/>
    </sheetView>
  </sheetViews>
  <sheetFormatPr baseColWidth="10" defaultColWidth="9.1640625" defaultRowHeight="15"/>
  <cols>
    <col min="1" max="26" width="3.6640625" style="1" customWidth="1"/>
    <col min="27" max="28" width="4.5" customWidth="1"/>
    <col min="29" max="34" width="13.83203125" style="1" customWidth="1"/>
  </cols>
  <sheetData>
    <row r="1" spans="1:34" ht="96" customHeight="1">
      <c r="A1" s="146" t="s">
        <v>819</v>
      </c>
      <c r="B1" s="147"/>
      <c r="C1" s="147"/>
      <c r="D1" s="147"/>
      <c r="E1" s="147"/>
      <c r="F1" s="147"/>
      <c r="G1" s="147"/>
      <c r="H1" s="147"/>
      <c r="I1" s="147"/>
      <c r="J1" s="147"/>
      <c r="K1" s="147"/>
      <c r="L1" s="147"/>
      <c r="M1" s="147"/>
      <c r="N1" s="147"/>
      <c r="O1" s="147"/>
      <c r="P1" s="147"/>
      <c r="Q1" s="147"/>
      <c r="R1" s="147"/>
      <c r="S1" s="147"/>
      <c r="T1" s="147"/>
      <c r="U1" s="147"/>
      <c r="V1" s="147"/>
      <c r="W1" s="147"/>
      <c r="X1" s="147"/>
      <c r="Y1" s="147"/>
      <c r="Z1" s="148"/>
      <c r="AC1" s="151"/>
      <c r="AD1" s="151"/>
      <c r="AE1" s="151"/>
      <c r="AF1" s="151"/>
      <c r="AG1" s="151"/>
      <c r="AH1" s="151"/>
    </row>
    <row r="2" spans="1:34">
      <c r="A2" s="149" t="s">
        <v>0</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C2" s="150" t="s">
        <v>1287</v>
      </c>
      <c r="AD2" s="150"/>
      <c r="AE2" s="150"/>
      <c r="AF2" s="150"/>
      <c r="AG2" s="150"/>
      <c r="AH2" s="150"/>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Attraction</v>
      </c>
      <c r="AD3" s="98" t="str">
        <f>VLOOKUP(Read_First!B5,Items!A1:BI50,55,FALSE)</f>
        <v>Compréhensibilité</v>
      </c>
      <c r="AE3" s="99" t="str">
        <f>VLOOKUP(Read_First!B5,Items!A1:BI50,56,FALSE)</f>
        <v>Efficacité</v>
      </c>
      <c r="AF3" s="98" t="str">
        <f>VLOOKUP(Read_First!B5,Items!A1:BI50,57,FALSE)</f>
        <v>Contrôlabilité</v>
      </c>
      <c r="AG3" s="99" t="str">
        <f>VLOOKUP(Read_First!B5,Items!A1:BI50,58,FALSE)</f>
        <v>Stimulation</v>
      </c>
      <c r="AH3" s="100" t="str">
        <f>VLOOKUP(Read_First!B5,Items!A1:BI50,59,FALSE)</f>
        <v>Originalité</v>
      </c>
    </row>
    <row r="4" spans="1:34">
      <c r="A4" s="54">
        <f>IF(Data!A4&gt;0,Data!A4-4,"")</f>
        <v>2</v>
      </c>
      <c r="B4" s="54">
        <f>IF(Data!B4&gt;0,Data!B4-4,"")</f>
        <v>1</v>
      </c>
      <c r="C4" s="54">
        <f>IF(Data!C4&gt;0,4-Data!C4,"")</f>
        <v>2</v>
      </c>
      <c r="D4" s="54">
        <f>IF(Data!D4&gt;0,4-Data!D4,"")</f>
        <v>-1</v>
      </c>
      <c r="E4" s="54">
        <f>IF(Data!E4&gt;0,4-Data!E4,"")</f>
        <v>3</v>
      </c>
      <c r="F4" s="54">
        <f>IF(Data!F4&gt;0,Data!F4-4,"")</f>
        <v>1</v>
      </c>
      <c r="G4" s="54">
        <f>IF(Data!G4&gt;0,Data!G4-4,"")</f>
        <v>3</v>
      </c>
      <c r="H4" s="54">
        <f>IF(Data!H4&gt;0,Data!H4-4,"")</f>
        <v>3</v>
      </c>
      <c r="I4" s="54">
        <f>IF(Data!I4&gt;0,4-Data!I4,"")</f>
        <v>3</v>
      </c>
      <c r="J4" s="54">
        <f>IF(Data!J4&gt;0,4-Data!J4,"")</f>
        <v>1</v>
      </c>
      <c r="K4" s="54">
        <f>IF(Data!K4&gt;0,Data!K4-4,"")</f>
        <v>2</v>
      </c>
      <c r="L4" s="54">
        <f>IF(Data!L4&gt;0,4-Data!L4,"")</f>
        <v>2</v>
      </c>
      <c r="M4" s="54">
        <f>IF(Data!M4&gt;0,Data!M4-4,"")</f>
        <v>2</v>
      </c>
      <c r="N4" s="54">
        <f>IF(Data!N4&gt;0,Data!N4-4,"")</f>
        <v>1</v>
      </c>
      <c r="O4" s="54">
        <f>IF(Data!O4&gt;0,Data!O4-4,"")</f>
        <v>0</v>
      </c>
      <c r="P4" s="54">
        <f>IF(Data!P4&gt;0,Data!P4-4,"")</f>
        <v>1</v>
      </c>
      <c r="Q4" s="54">
        <f>IF(Data!Q4&gt;0,4-Data!Q4,"")</f>
        <v>1</v>
      </c>
      <c r="R4" s="54">
        <f>IF(Data!R4&gt;0,4-Data!R4,"")</f>
        <v>2</v>
      </c>
      <c r="S4" s="54">
        <f>IF(Data!S4&gt;0,4-Data!S4,"")</f>
        <v>2</v>
      </c>
      <c r="T4" s="54">
        <f>IF(Data!T4&gt;0,Data!T4-4,"")</f>
        <v>2</v>
      </c>
      <c r="U4" s="54">
        <f>IF(Data!U4&gt;0,4-Data!U4,"")</f>
        <v>2</v>
      </c>
      <c r="V4" s="54">
        <f>IF(Data!V4&gt;0,Data!V4-4,"")</f>
        <v>1</v>
      </c>
      <c r="W4" s="54">
        <f>IF(Data!W4&gt;0,4-Data!W4,"")</f>
        <v>3</v>
      </c>
      <c r="X4" s="54">
        <f>IF(Data!X4&gt;0,4-Data!X4,"")</f>
        <v>2</v>
      </c>
      <c r="Y4" s="54">
        <f>IF(Data!Y4&gt;0,4-Data!Y4,"")</f>
        <v>1</v>
      </c>
      <c r="Z4" s="54">
        <f>IF(Data!Z4&gt;0,Data!Z4-4,"")</f>
        <v>1</v>
      </c>
      <c r="AC4" s="55">
        <f t="shared" ref="AC4:AC68" si="0">IF(COUNT(A4,L4,N4,P4,X4,Y4)&gt;0,AVERAGE(A4,L4,N4,P4,X4,Y4),"")</f>
        <v>1.5</v>
      </c>
      <c r="AD4" s="55">
        <f>IF(COUNT(B4,D4,M4,U4)&gt;0,AVERAGE(B4,D4,M4,U4),"")</f>
        <v>1</v>
      </c>
      <c r="AE4" s="55">
        <f>IF(COUNT(I4,T4,V4,W4)&gt;0,AVERAGE(I4,T4,V4,W4),"")</f>
        <v>2.25</v>
      </c>
      <c r="AF4" s="55">
        <f>IF(COUNT(H4,K4,Q4,S4)&gt;0,AVERAGE(H4,K4,Q4,S4),"")</f>
        <v>2</v>
      </c>
      <c r="AG4" s="55">
        <f>IF(COUNT(E4,F4,G4,R4)&gt;0,AVERAGE(E4,F4,G4,R4),"")</f>
        <v>2.25</v>
      </c>
      <c r="AH4" s="55">
        <f>IF(COUNT(C4,J4,O4,Z4)&gt;0,AVERAGE(C4,J4,O4,Z4),"")</f>
        <v>1</v>
      </c>
    </row>
    <row r="5" spans="1:34">
      <c r="A5" s="1">
        <f>IF(Data!A5&gt;0,Data!A5-4,"")</f>
        <v>3</v>
      </c>
      <c r="B5" s="1">
        <f>IF(Data!B5&gt;0,Data!B5-4,"")</f>
        <v>2</v>
      </c>
      <c r="C5" s="1">
        <f>IF(Data!C5&gt;0,4-Data!C5,"")</f>
        <v>1</v>
      </c>
      <c r="D5" s="1">
        <f>IF(Data!D5&gt;0,4-Data!D5,"")</f>
        <v>2</v>
      </c>
      <c r="E5" s="1">
        <f>IF(Data!E5&gt;0,4-Data!E5,"")</f>
        <v>2</v>
      </c>
      <c r="F5" s="1">
        <f>IF(Data!F5&gt;0,Data!F5-4,"")</f>
        <v>1</v>
      </c>
      <c r="G5" s="1">
        <f>IF(Data!G5&gt;0,Data!G5-4,"")</f>
        <v>1</v>
      </c>
      <c r="H5" s="1">
        <f>IF(Data!H5&gt;0,Data!H5-4,"")</f>
        <v>1</v>
      </c>
      <c r="I5" s="1">
        <f>IF(Data!I5&gt;0,4-Data!I5,"")</f>
        <v>2</v>
      </c>
      <c r="J5" s="1">
        <f>IF(Data!J5&gt;0,4-Data!J5,"")</f>
        <v>1</v>
      </c>
      <c r="K5" s="1">
        <f>IF(Data!K5&gt;0,Data!K5-4,"")</f>
        <v>1</v>
      </c>
      <c r="L5" s="1">
        <f>IF(Data!L5&gt;0,4-Data!L5,"")</f>
        <v>2</v>
      </c>
      <c r="M5" s="1">
        <f>IF(Data!M5&gt;0,Data!M5-4,"")</f>
        <v>2</v>
      </c>
      <c r="N5" s="1">
        <f>IF(Data!N5&gt;0,Data!N5-4,"")</f>
        <v>2</v>
      </c>
      <c r="O5" s="1">
        <f>IF(Data!O5&gt;0,Data!O5-4,"")</f>
        <v>1</v>
      </c>
      <c r="P5" s="1">
        <f>IF(Data!P5&gt;0,Data!P5-4,"")</f>
        <v>2</v>
      </c>
      <c r="Q5" s="1">
        <f>IF(Data!Q5&gt;0,4-Data!Q5,"")</f>
        <v>1</v>
      </c>
      <c r="R5" s="1">
        <f>IF(Data!R5&gt;0,4-Data!R5,"")</f>
        <v>2</v>
      </c>
      <c r="S5" s="1">
        <f>IF(Data!S5&gt;0,4-Data!S5,"")</f>
        <v>1</v>
      </c>
      <c r="T5" s="1">
        <f>IF(Data!T5&gt;0,Data!T5-4,"")</f>
        <v>1</v>
      </c>
      <c r="U5" s="1">
        <f>IF(Data!U5&gt;0,4-Data!U5,"")</f>
        <v>2</v>
      </c>
      <c r="V5" s="1">
        <f>IF(Data!V5&gt;0,Data!V5-4,"")</f>
        <v>2</v>
      </c>
      <c r="W5" s="1">
        <f>IF(Data!W5&gt;0,4-Data!W5,"")</f>
        <v>2</v>
      </c>
      <c r="X5" s="1">
        <f>IF(Data!X5&gt;0,4-Data!X5,"")</f>
        <v>2</v>
      </c>
      <c r="Y5" s="1">
        <f>IF(Data!Y5&gt;0,4-Data!Y5,"")</f>
        <v>2</v>
      </c>
      <c r="Z5" s="1">
        <f>IF(Data!Z5&gt;0,Data!Z5-4,"")</f>
        <v>1</v>
      </c>
      <c r="AC5" s="6">
        <f t="shared" si="0"/>
        <v>2.1666666666666665</v>
      </c>
      <c r="AD5" s="6">
        <f t="shared" ref="AD5:AD68" si="1">IF(COUNT(B5,D5,M5,U5)&gt;0,AVERAGE(B5,D5,M5,U5),"")</f>
        <v>2</v>
      </c>
      <c r="AE5" s="6">
        <f t="shared" ref="AE5:AE68" si="2">IF(COUNT(I5,T5,V5,W5)&gt;0,AVERAGE(I5,T5,V5,W5),"")</f>
        <v>1.75</v>
      </c>
      <c r="AF5" s="6">
        <f t="shared" ref="AF5:AF68" si="3">IF(COUNT(H5,K5,Q5,S5)&gt;0,AVERAGE(H5,K5,Q5,S5),"")</f>
        <v>1</v>
      </c>
      <c r="AG5" s="6">
        <f t="shared" ref="AG5:AG68" si="4">IF(COUNT(E5,F5,G5,R5)&gt;0,AVERAGE(E5,F5,G5,R5),"")</f>
        <v>1.5</v>
      </c>
      <c r="AH5" s="6">
        <f t="shared" ref="AH5:AH68" si="5">IF(COUNT(C5,J5,O5,Z5)&gt;0,AVERAGE(C5,J5,O5,Z5),"")</f>
        <v>1</v>
      </c>
    </row>
    <row r="6" spans="1:34">
      <c r="A6" s="1">
        <f>IF(Data!A6&gt;0,Data!A6-4,"")</f>
        <v>1</v>
      </c>
      <c r="B6" s="1">
        <f>IF(Data!B6&gt;0,Data!B6-4,"")</f>
        <v>1</v>
      </c>
      <c r="C6" s="1">
        <f>IF(Data!C6&gt;0,4-Data!C6,"")</f>
        <v>1</v>
      </c>
      <c r="D6" s="1">
        <f>IF(Data!D6&gt;0,4-Data!D6,"")</f>
        <v>3</v>
      </c>
      <c r="E6" s="1">
        <f>IF(Data!E6&gt;0,4-Data!E6,"")</f>
        <v>2</v>
      </c>
      <c r="F6" s="1">
        <f>IF(Data!F6&gt;0,Data!F6-4,"")</f>
        <v>2</v>
      </c>
      <c r="G6" s="1">
        <f>IF(Data!G6&gt;0,Data!G6-4,"")</f>
        <v>2</v>
      </c>
      <c r="H6" s="1">
        <f>IF(Data!H6&gt;0,Data!H6-4,"")</f>
        <v>-1</v>
      </c>
      <c r="I6" s="1">
        <f>IF(Data!I6&gt;0,4-Data!I6,"")</f>
        <v>-2</v>
      </c>
      <c r="J6" s="1">
        <f>IF(Data!J6&gt;0,4-Data!J6,"")</f>
        <v>1</v>
      </c>
      <c r="K6" s="1">
        <f>IF(Data!K6&gt;0,Data!K6-4,"")</f>
        <v>3</v>
      </c>
      <c r="L6" s="1">
        <f>IF(Data!L6&gt;0,4-Data!L6,"")</f>
        <v>2</v>
      </c>
      <c r="M6" s="1">
        <f>IF(Data!M6&gt;0,Data!M6-4,"")</f>
        <v>2</v>
      </c>
      <c r="N6" s="1">
        <f>IF(Data!N6&gt;0,Data!N6-4,"")</f>
        <v>2</v>
      </c>
      <c r="O6" s="1">
        <f>IF(Data!O6&gt;0,Data!O6-4,"")</f>
        <v>1</v>
      </c>
      <c r="P6" s="1">
        <f>IF(Data!P6&gt;0,Data!P6-4,"")</f>
        <v>2</v>
      </c>
      <c r="Q6" s="1">
        <f>IF(Data!Q6&gt;0,4-Data!Q6,"")</f>
        <v>0</v>
      </c>
      <c r="R6" s="1">
        <f>IF(Data!R6&gt;0,4-Data!R6,"")</f>
        <v>2</v>
      </c>
      <c r="S6" s="1">
        <f>IF(Data!S6&gt;0,4-Data!S6,"")</f>
        <v>2</v>
      </c>
      <c r="T6" s="1">
        <f>IF(Data!T6&gt;0,Data!T6-4,"")</f>
        <v>1</v>
      </c>
      <c r="U6" s="1">
        <f>IF(Data!U6&gt;0,4-Data!U6,"")</f>
        <v>1</v>
      </c>
      <c r="V6" s="1">
        <f>IF(Data!V6&gt;0,Data!V6-4,"")</f>
        <v>1</v>
      </c>
      <c r="W6" s="1">
        <f>IF(Data!W6&gt;0,4-Data!W6,"")</f>
        <v>3</v>
      </c>
      <c r="X6" s="1">
        <f>IF(Data!X6&gt;0,4-Data!X6,"")</f>
        <v>2</v>
      </c>
      <c r="Y6" s="1">
        <f>IF(Data!Y6&gt;0,4-Data!Y6,"")</f>
        <v>1</v>
      </c>
      <c r="Z6" s="1">
        <f>IF(Data!Z6&gt;0,Data!Z6-4,"")</f>
        <v>1</v>
      </c>
      <c r="AC6" s="6">
        <f t="shared" si="0"/>
        <v>1.6666666666666667</v>
      </c>
      <c r="AD6" s="6">
        <f t="shared" si="1"/>
        <v>1.75</v>
      </c>
      <c r="AE6" s="6">
        <f t="shared" si="2"/>
        <v>0.75</v>
      </c>
      <c r="AF6" s="6">
        <f t="shared" si="3"/>
        <v>1</v>
      </c>
      <c r="AG6" s="6">
        <f t="shared" si="4"/>
        <v>2</v>
      </c>
      <c r="AH6" s="6">
        <f t="shared" si="5"/>
        <v>1</v>
      </c>
    </row>
    <row r="7" spans="1:34">
      <c r="A7" s="1">
        <f>IF(Data!A7&gt;0,Data!A7-4,"")</f>
        <v>3</v>
      </c>
      <c r="B7" s="1">
        <f>IF(Data!B7&gt;0,Data!B7-4,"")</f>
        <v>1</v>
      </c>
      <c r="C7" s="1">
        <f>IF(Data!C7&gt;0,4-Data!C7,"")</f>
        <v>1</v>
      </c>
      <c r="D7" s="1">
        <f>IF(Data!D7&gt;0,4-Data!D7,"")</f>
        <v>3</v>
      </c>
      <c r="E7" s="1">
        <f>IF(Data!E7&gt;0,4-Data!E7,"")</f>
        <v>3</v>
      </c>
      <c r="F7" s="1">
        <f>IF(Data!F7&gt;0,Data!F7-4,"")</f>
        <v>1</v>
      </c>
      <c r="G7" s="1">
        <f>IF(Data!G7&gt;0,Data!G7-4,"")</f>
        <v>2</v>
      </c>
      <c r="H7" s="1">
        <f>IF(Data!H7&gt;0,Data!H7-4,"")</f>
        <v>3</v>
      </c>
      <c r="I7" s="1">
        <f>IF(Data!I7&gt;0,4-Data!I7,"")</f>
        <v>-3</v>
      </c>
      <c r="J7" s="1">
        <f>IF(Data!J7&gt;0,4-Data!J7,"")</f>
        <v>0</v>
      </c>
      <c r="K7" s="1">
        <f>IF(Data!K7&gt;0,Data!K7-4,"")</f>
        <v>3</v>
      </c>
      <c r="L7" s="1">
        <f>IF(Data!L7&gt;0,4-Data!L7,"")</f>
        <v>3</v>
      </c>
      <c r="M7" s="1">
        <f>IF(Data!M7&gt;0,Data!M7-4,"")</f>
        <v>3</v>
      </c>
      <c r="N7" s="1">
        <f>IF(Data!N7&gt;0,Data!N7-4,"")</f>
        <v>3</v>
      </c>
      <c r="O7" s="1">
        <f>IF(Data!O7&gt;0,Data!O7-4,"")</f>
        <v>0</v>
      </c>
      <c r="P7" s="1">
        <f>IF(Data!P7&gt;0,Data!P7-4,"")</f>
        <v>2</v>
      </c>
      <c r="Q7" s="1">
        <f>IF(Data!Q7&gt;0,4-Data!Q7,"")</f>
        <v>2</v>
      </c>
      <c r="R7" s="1">
        <f>IF(Data!R7&gt;0,4-Data!R7,"")</f>
        <v>0</v>
      </c>
      <c r="S7" s="1">
        <f>IF(Data!S7&gt;0,4-Data!S7,"")</f>
        <v>3</v>
      </c>
      <c r="T7" s="1">
        <f>IF(Data!T7&gt;0,Data!T7-4,"")</f>
        <v>3</v>
      </c>
      <c r="U7" s="1">
        <f>IF(Data!U7&gt;0,4-Data!U7,"")</f>
        <v>3</v>
      </c>
      <c r="V7" s="1">
        <f>IF(Data!V7&gt;0,Data!V7-4,"")</f>
        <v>3</v>
      </c>
      <c r="W7" s="1">
        <f>IF(Data!W7&gt;0,4-Data!W7,"")</f>
        <v>3</v>
      </c>
      <c r="X7" s="1">
        <f>IF(Data!X7&gt;0,4-Data!X7,"")</f>
        <v>2</v>
      </c>
      <c r="Y7" s="1">
        <f>IF(Data!Y7&gt;0,4-Data!Y7,"")</f>
        <v>3</v>
      </c>
      <c r="Z7" s="1">
        <f>IF(Data!Z7&gt;0,Data!Z7-4,"")</f>
        <v>2</v>
      </c>
      <c r="AC7" s="6">
        <f t="shared" si="0"/>
        <v>2.6666666666666665</v>
      </c>
      <c r="AD7" s="6">
        <f t="shared" si="1"/>
        <v>2.5</v>
      </c>
      <c r="AE7" s="6">
        <f t="shared" si="2"/>
        <v>1.5</v>
      </c>
      <c r="AF7" s="6">
        <f t="shared" si="3"/>
        <v>2.75</v>
      </c>
      <c r="AG7" s="6">
        <f t="shared" si="4"/>
        <v>1.5</v>
      </c>
      <c r="AH7" s="6">
        <f t="shared" si="5"/>
        <v>0.75</v>
      </c>
    </row>
    <row r="8" spans="1:34">
      <c r="A8" s="1">
        <f>IF(Data!A8&gt;0,Data!A8-4,"")</f>
        <v>2</v>
      </c>
      <c r="B8" s="1">
        <f>IF(Data!B8&gt;0,Data!B8-4,"")</f>
        <v>2</v>
      </c>
      <c r="C8" s="1">
        <f>IF(Data!C8&gt;0,4-Data!C8,"")</f>
        <v>-1</v>
      </c>
      <c r="D8" s="1">
        <f>IF(Data!D8&gt;0,4-Data!D8,"")</f>
        <v>3</v>
      </c>
      <c r="E8" s="1">
        <f>IF(Data!E8&gt;0,4-Data!E8,"")</f>
        <v>2</v>
      </c>
      <c r="F8" s="1">
        <f>IF(Data!F8&gt;0,Data!F8-4,"")</f>
        <v>2</v>
      </c>
      <c r="G8" s="1">
        <f>IF(Data!G8&gt;0,Data!G8-4,"")</f>
        <v>2</v>
      </c>
      <c r="H8" s="1">
        <f>IF(Data!H8&gt;0,Data!H8-4,"")</f>
        <v>0</v>
      </c>
      <c r="I8" s="1">
        <f>IF(Data!I8&gt;0,4-Data!I8,"")</f>
        <v>2</v>
      </c>
      <c r="J8" s="1">
        <f>IF(Data!J8&gt;0,4-Data!J8,"")</f>
        <v>1</v>
      </c>
      <c r="K8" s="1">
        <f>IF(Data!K8&gt;0,Data!K8-4,"")</f>
        <v>2</v>
      </c>
      <c r="L8" s="1">
        <f>IF(Data!L8&gt;0,4-Data!L8,"")</f>
        <v>2</v>
      </c>
      <c r="M8" s="1">
        <f>IF(Data!M8&gt;0,Data!M8-4,"")</f>
        <v>3</v>
      </c>
      <c r="N8" s="1">
        <f>IF(Data!N8&gt;0,Data!N8-4,"")</f>
        <v>2</v>
      </c>
      <c r="O8" s="1">
        <f>IF(Data!O8&gt;0,Data!O8-4,"")</f>
        <v>0</v>
      </c>
      <c r="P8" s="1">
        <f>IF(Data!P8&gt;0,Data!P8-4,"")</f>
        <v>1</v>
      </c>
      <c r="Q8" s="1">
        <f>IF(Data!Q8&gt;0,4-Data!Q8,"")</f>
        <v>2</v>
      </c>
      <c r="R8" s="1">
        <f>IF(Data!R8&gt;0,4-Data!R8,"")</f>
        <v>2</v>
      </c>
      <c r="S8" s="1">
        <f>IF(Data!S8&gt;0,4-Data!S8,"")</f>
        <v>1</v>
      </c>
      <c r="T8" s="1">
        <f>IF(Data!T8&gt;0,Data!T8-4,"")</f>
        <v>1</v>
      </c>
      <c r="U8" s="1">
        <f>IF(Data!U8&gt;0,4-Data!U8,"")</f>
        <v>3</v>
      </c>
      <c r="V8" s="1">
        <f>IF(Data!V8&gt;0,Data!V8-4,"")</f>
        <v>1</v>
      </c>
      <c r="W8" s="1">
        <f>IF(Data!W8&gt;0,4-Data!W8,"")</f>
        <v>2</v>
      </c>
      <c r="X8" s="1">
        <f>IF(Data!X8&gt;0,4-Data!X8,"")</f>
        <v>3</v>
      </c>
      <c r="Y8" s="1">
        <f>IF(Data!Y8&gt;0,4-Data!Y8,"")</f>
        <v>3</v>
      </c>
      <c r="Z8" s="1">
        <f>IF(Data!Z8&gt;0,Data!Z8-4,"")</f>
        <v>0</v>
      </c>
      <c r="AC8" s="6">
        <f t="shared" si="0"/>
        <v>2.1666666666666665</v>
      </c>
      <c r="AD8" s="6">
        <f t="shared" si="1"/>
        <v>2.75</v>
      </c>
      <c r="AE8" s="6">
        <f t="shared" si="2"/>
        <v>1.5</v>
      </c>
      <c r="AF8" s="6">
        <f t="shared" si="3"/>
        <v>1.25</v>
      </c>
      <c r="AG8" s="6">
        <f t="shared" si="4"/>
        <v>2</v>
      </c>
      <c r="AH8" s="6">
        <f t="shared" si="5"/>
        <v>0</v>
      </c>
    </row>
    <row r="9" spans="1:34">
      <c r="A9" s="1">
        <f>IF(Data!A9&gt;0,Data!A9-4,"")</f>
        <v>3</v>
      </c>
      <c r="B9" s="1">
        <f>IF(Data!B9&gt;0,Data!B9-4,"")</f>
        <v>1</v>
      </c>
      <c r="C9" s="1">
        <f>IF(Data!C9&gt;0,4-Data!C9,"")</f>
        <v>0</v>
      </c>
      <c r="D9" s="1">
        <f>IF(Data!D9&gt;0,4-Data!D9,"")</f>
        <v>3</v>
      </c>
      <c r="E9" s="1">
        <f>IF(Data!E9&gt;0,4-Data!E9,"")</f>
        <v>2</v>
      </c>
      <c r="F9" s="1">
        <f>IF(Data!F9&gt;0,Data!F9-4,"")</f>
        <v>0</v>
      </c>
      <c r="G9" s="1">
        <f>IF(Data!G9&gt;0,Data!G9-4,"")</f>
        <v>2</v>
      </c>
      <c r="H9" s="1">
        <f>IF(Data!H9&gt;0,Data!H9-4,"")</f>
        <v>1</v>
      </c>
      <c r="I9" s="1">
        <f>IF(Data!I9&gt;0,4-Data!I9,"")</f>
        <v>3</v>
      </c>
      <c r="J9" s="1">
        <f>IF(Data!J9&gt;0,4-Data!J9,"")</f>
        <v>2</v>
      </c>
      <c r="K9" s="1">
        <f>IF(Data!K9&gt;0,Data!K9-4,"")</f>
        <v>2</v>
      </c>
      <c r="L9" s="1">
        <f>IF(Data!L9&gt;0,4-Data!L9,"")</f>
        <v>3</v>
      </c>
      <c r="M9" s="1">
        <f>IF(Data!M9&gt;0,Data!M9-4,"")</f>
        <v>2</v>
      </c>
      <c r="N9" s="1">
        <f>IF(Data!N9&gt;0,Data!N9-4,"")</f>
        <v>3</v>
      </c>
      <c r="O9" s="1">
        <f>IF(Data!O9&gt;0,Data!O9-4,"")</f>
        <v>2</v>
      </c>
      <c r="P9" s="1">
        <f>IF(Data!P9&gt;0,Data!P9-4,"")</f>
        <v>2</v>
      </c>
      <c r="Q9" s="1">
        <f>IF(Data!Q9&gt;0,4-Data!Q9,"")</f>
        <v>0</v>
      </c>
      <c r="R9" s="1">
        <f>IF(Data!R9&gt;0,4-Data!R9,"")</f>
        <v>1</v>
      </c>
      <c r="S9" s="1">
        <f>IF(Data!S9&gt;0,4-Data!S9,"")</f>
        <v>2</v>
      </c>
      <c r="T9" s="1">
        <f>IF(Data!T9&gt;0,Data!T9-4,"")</f>
        <v>1</v>
      </c>
      <c r="U9" s="1">
        <f>IF(Data!U9&gt;0,4-Data!U9,"")</f>
        <v>3</v>
      </c>
      <c r="V9" s="1">
        <f>IF(Data!V9&gt;0,Data!V9-4,"")</f>
        <v>3</v>
      </c>
      <c r="W9" s="1">
        <f>IF(Data!W9&gt;0,4-Data!W9,"")</f>
        <v>2</v>
      </c>
      <c r="X9" s="1">
        <f>IF(Data!X9&gt;0,4-Data!X9,"")</f>
        <v>2</v>
      </c>
      <c r="Y9" s="1">
        <f>IF(Data!Y9&gt;0,4-Data!Y9,"")</f>
        <v>3</v>
      </c>
      <c r="Z9" s="1">
        <f>IF(Data!Z9&gt;0,Data!Z9-4,"")</f>
        <v>2</v>
      </c>
      <c r="AC9" s="6">
        <f t="shared" si="0"/>
        <v>2.6666666666666665</v>
      </c>
      <c r="AD9" s="6">
        <f t="shared" si="1"/>
        <v>2.25</v>
      </c>
      <c r="AE9" s="6">
        <f t="shared" si="2"/>
        <v>2.25</v>
      </c>
      <c r="AF9" s="6">
        <f t="shared" si="3"/>
        <v>1.25</v>
      </c>
      <c r="AG9" s="6">
        <f t="shared" si="4"/>
        <v>1.25</v>
      </c>
      <c r="AH9" s="6">
        <f t="shared" si="5"/>
        <v>1.5</v>
      </c>
    </row>
    <row r="10" spans="1:34">
      <c r="A10" s="1">
        <f>IF(Data!A10&gt;0,Data!A10-4,"")</f>
        <v>1</v>
      </c>
      <c r="B10" s="1">
        <f>IF(Data!B10&gt;0,Data!B10-4,"")</f>
        <v>2</v>
      </c>
      <c r="C10" s="1">
        <f>IF(Data!C10&gt;0,4-Data!C10,"")</f>
        <v>0</v>
      </c>
      <c r="D10" s="1">
        <f>IF(Data!D10&gt;0,4-Data!D10,"")</f>
        <v>1</v>
      </c>
      <c r="E10" s="1">
        <f>IF(Data!E10&gt;0,4-Data!E10,"")</f>
        <v>1</v>
      </c>
      <c r="F10" s="1">
        <f>IF(Data!F10&gt;0,Data!F10-4,"")</f>
        <v>0</v>
      </c>
      <c r="G10" s="1">
        <f>IF(Data!G10&gt;0,Data!G10-4,"")</f>
        <v>1</v>
      </c>
      <c r="H10" s="1">
        <f>IF(Data!H10&gt;0,Data!H10-4,"")</f>
        <v>0</v>
      </c>
      <c r="I10" s="1">
        <f>IF(Data!I10&gt;0,4-Data!I10,"")</f>
        <v>2</v>
      </c>
      <c r="J10" s="1">
        <f>IF(Data!J10&gt;0,4-Data!J10,"")</f>
        <v>1</v>
      </c>
      <c r="K10" s="1">
        <f>IF(Data!K10&gt;0,Data!K10-4,"")</f>
        <v>1</v>
      </c>
      <c r="L10" s="1">
        <f>IF(Data!L10&gt;0,4-Data!L10,"")</f>
        <v>1</v>
      </c>
      <c r="M10" s="1">
        <f>IF(Data!M10&gt;0,Data!M10-4,"")</f>
        <v>1</v>
      </c>
      <c r="N10" s="1">
        <f>IF(Data!N10&gt;0,Data!N10-4,"")</f>
        <v>0</v>
      </c>
      <c r="O10" s="1">
        <f>IF(Data!O10&gt;0,Data!O10-4,"")</f>
        <v>1</v>
      </c>
      <c r="P10" s="1">
        <f>IF(Data!P10&gt;0,Data!P10-4,"")</f>
        <v>2</v>
      </c>
      <c r="Q10" s="1">
        <f>IF(Data!Q10&gt;0,4-Data!Q10,"")</f>
        <v>0</v>
      </c>
      <c r="R10" s="1">
        <f>IF(Data!R10&gt;0,4-Data!R10,"")</f>
        <v>0</v>
      </c>
      <c r="S10" s="1">
        <f>IF(Data!S10&gt;0,4-Data!S10,"")</f>
        <v>1</v>
      </c>
      <c r="T10" s="1">
        <f>IF(Data!T10&gt;0,Data!T10-4,"")</f>
        <v>1</v>
      </c>
      <c r="U10" s="1">
        <f>IF(Data!U10&gt;0,4-Data!U10,"")</f>
        <v>2</v>
      </c>
      <c r="V10" s="1">
        <f>IF(Data!V10&gt;0,Data!V10-4,"")</f>
        <v>1</v>
      </c>
      <c r="W10" s="1">
        <f>IF(Data!W10&gt;0,4-Data!W10,"")</f>
        <v>2</v>
      </c>
      <c r="X10" s="1">
        <f>IF(Data!X10&gt;0,4-Data!X10,"")</f>
        <v>1</v>
      </c>
      <c r="Y10" s="1">
        <f>IF(Data!Y10&gt;0,4-Data!Y10,"")</f>
        <v>0</v>
      </c>
      <c r="Z10" s="1">
        <f>IF(Data!Z10&gt;0,Data!Z10-4,"")</f>
        <v>1</v>
      </c>
      <c r="AC10" s="6">
        <f t="shared" si="0"/>
        <v>0.83333333333333337</v>
      </c>
      <c r="AD10" s="6">
        <f t="shared" si="1"/>
        <v>1.5</v>
      </c>
      <c r="AE10" s="6">
        <f t="shared" si="2"/>
        <v>1.5</v>
      </c>
      <c r="AF10" s="6">
        <f t="shared" si="3"/>
        <v>0.5</v>
      </c>
      <c r="AG10" s="6">
        <f t="shared" si="4"/>
        <v>0.5</v>
      </c>
      <c r="AH10" s="6">
        <f t="shared" si="5"/>
        <v>0.75</v>
      </c>
    </row>
    <row r="11" spans="1:34">
      <c r="A11" s="1">
        <f>IF(Data!A11&gt;0,Data!A11-4,"")</f>
        <v>2</v>
      </c>
      <c r="B11" s="1">
        <f>IF(Data!B11&gt;0,Data!B11-4,"")</f>
        <v>1</v>
      </c>
      <c r="C11" s="1">
        <f>IF(Data!C11&gt;0,4-Data!C11,"")</f>
        <v>1</v>
      </c>
      <c r="D11" s="1">
        <f>IF(Data!D11&gt;0,4-Data!D11,"")</f>
        <v>2</v>
      </c>
      <c r="E11" s="1">
        <f>IF(Data!E11&gt;0,4-Data!E11,"")</f>
        <v>1</v>
      </c>
      <c r="F11" s="1">
        <f>IF(Data!F11&gt;0,Data!F11-4,"")</f>
        <v>0</v>
      </c>
      <c r="G11" s="1">
        <f>IF(Data!G11&gt;0,Data!G11-4,"")</f>
        <v>1</v>
      </c>
      <c r="H11" s="1">
        <f>IF(Data!H11&gt;0,Data!H11-4,"")</f>
        <v>2</v>
      </c>
      <c r="I11" s="1">
        <f>IF(Data!I11&gt;0,4-Data!I11,"")</f>
        <v>3</v>
      </c>
      <c r="J11" s="1">
        <f>IF(Data!J11&gt;0,4-Data!J11,"")</f>
        <v>0</v>
      </c>
      <c r="K11" s="1">
        <f>IF(Data!K11&gt;0,Data!K11-4,"")</f>
        <v>1</v>
      </c>
      <c r="L11" s="1">
        <f>IF(Data!L11&gt;0,4-Data!L11,"")</f>
        <v>1</v>
      </c>
      <c r="M11" s="1">
        <f>IF(Data!M11&gt;0,Data!M11-4,"")</f>
        <v>3</v>
      </c>
      <c r="N11" s="1">
        <f>IF(Data!N11&gt;0,Data!N11-4,"")</f>
        <v>3</v>
      </c>
      <c r="O11" s="1">
        <f>IF(Data!O11&gt;0,Data!O11-4,"")</f>
        <v>0</v>
      </c>
      <c r="P11" s="1">
        <f>IF(Data!P11&gt;0,Data!P11-4,"")</f>
        <v>2</v>
      </c>
      <c r="Q11" s="1">
        <f>IF(Data!Q11&gt;0,4-Data!Q11,"")</f>
        <v>0</v>
      </c>
      <c r="R11" s="1">
        <f>IF(Data!R11&gt;0,4-Data!R11,"")</f>
        <v>1</v>
      </c>
      <c r="S11" s="1">
        <f>IF(Data!S11&gt;0,4-Data!S11,"")</f>
        <v>-1</v>
      </c>
      <c r="T11" s="1">
        <f>IF(Data!T11&gt;0,Data!T11-4,"")</f>
        <v>2</v>
      </c>
      <c r="U11" s="1">
        <f>IF(Data!U11&gt;0,4-Data!U11,"")</f>
        <v>2</v>
      </c>
      <c r="V11" s="1">
        <f>IF(Data!V11&gt;0,Data!V11-4,"")</f>
        <v>3</v>
      </c>
      <c r="W11" s="1">
        <f>IF(Data!W11&gt;0,4-Data!W11,"")</f>
        <v>3</v>
      </c>
      <c r="X11" s="1">
        <f>IF(Data!X11&gt;0,4-Data!X11,"")</f>
        <v>3</v>
      </c>
      <c r="Y11" s="1">
        <f>IF(Data!Y11&gt;0,4-Data!Y11,"")</f>
        <v>-1</v>
      </c>
      <c r="Z11" s="1">
        <f>IF(Data!Z11&gt;0,Data!Z11-4,"")</f>
        <v>2</v>
      </c>
      <c r="AC11" s="6">
        <f t="shared" si="0"/>
        <v>1.6666666666666667</v>
      </c>
      <c r="AD11" s="6">
        <f t="shared" si="1"/>
        <v>2</v>
      </c>
      <c r="AE11" s="6">
        <f t="shared" si="2"/>
        <v>2.75</v>
      </c>
      <c r="AF11" s="6">
        <f t="shared" si="3"/>
        <v>0.5</v>
      </c>
      <c r="AG11" s="6">
        <f t="shared" si="4"/>
        <v>0.75</v>
      </c>
      <c r="AH11" s="6">
        <f t="shared" si="5"/>
        <v>0.75</v>
      </c>
    </row>
    <row r="12" spans="1:34">
      <c r="A12" s="1">
        <f>IF(Data!A12&gt;0,Data!A12-4,"")</f>
        <v>2</v>
      </c>
      <c r="B12" s="1">
        <f>IF(Data!B12&gt;0,Data!B12-4,"")</f>
        <v>2</v>
      </c>
      <c r="C12" s="1">
        <f>IF(Data!C12&gt;0,4-Data!C12,"")</f>
        <v>-2</v>
      </c>
      <c r="D12" s="1">
        <f>IF(Data!D12&gt;0,4-Data!D12,"")</f>
        <v>2</v>
      </c>
      <c r="E12" s="1">
        <f>IF(Data!E12&gt;0,4-Data!E12,"")</f>
        <v>3</v>
      </c>
      <c r="F12" s="1">
        <f>IF(Data!F12&gt;0,Data!F12-4,"")</f>
        <v>0</v>
      </c>
      <c r="G12" s="1">
        <f>IF(Data!G12&gt;0,Data!G12-4,"")</f>
        <v>1</v>
      </c>
      <c r="H12" s="1">
        <f>IF(Data!H12&gt;0,Data!H12-4,"")</f>
        <v>3</v>
      </c>
      <c r="I12" s="1">
        <f>IF(Data!I12&gt;0,4-Data!I12,"")</f>
        <v>2</v>
      </c>
      <c r="J12" s="1">
        <f>IF(Data!J12&gt;0,4-Data!J12,"")</f>
        <v>2</v>
      </c>
      <c r="K12" s="1">
        <f>IF(Data!K12&gt;0,Data!K12-4,"")</f>
        <v>3</v>
      </c>
      <c r="L12" s="1">
        <f>IF(Data!L12&gt;0,4-Data!L12,"")</f>
        <v>3</v>
      </c>
      <c r="M12" s="1">
        <f>IF(Data!M12&gt;0,Data!M12-4,"")</f>
        <v>3</v>
      </c>
      <c r="N12" s="1">
        <f>IF(Data!N12&gt;0,Data!N12-4,"")</f>
        <v>1</v>
      </c>
      <c r="O12" s="1">
        <f>IF(Data!O12&gt;0,Data!O12-4,"")</f>
        <v>3</v>
      </c>
      <c r="P12" s="1">
        <f>IF(Data!P12&gt;0,Data!P12-4,"")</f>
        <v>1</v>
      </c>
      <c r="Q12" s="1">
        <f>IF(Data!Q12&gt;0,4-Data!Q12,"")</f>
        <v>2</v>
      </c>
      <c r="R12" s="1">
        <f>IF(Data!R12&gt;0,4-Data!R12,"")</f>
        <v>2</v>
      </c>
      <c r="S12" s="1">
        <f>IF(Data!S12&gt;0,4-Data!S12,"")</f>
        <v>3</v>
      </c>
      <c r="T12" s="1">
        <f>IF(Data!T12&gt;0,Data!T12-4,"")</f>
        <v>3</v>
      </c>
      <c r="U12" s="1">
        <f>IF(Data!U12&gt;0,4-Data!U12,"")</f>
        <v>2</v>
      </c>
      <c r="V12" s="1">
        <f>IF(Data!V12&gt;0,Data!V12-4,"")</f>
        <v>2</v>
      </c>
      <c r="W12" s="1">
        <f>IF(Data!W12&gt;0,4-Data!W12,"")</f>
        <v>3</v>
      </c>
      <c r="X12" s="1">
        <f>IF(Data!X12&gt;0,4-Data!X12,"")</f>
        <v>1</v>
      </c>
      <c r="Y12" s="1">
        <f>IF(Data!Y12&gt;0,4-Data!Y12,"")</f>
        <v>3</v>
      </c>
      <c r="Z12" s="1">
        <f>IF(Data!Z12&gt;0,Data!Z12-4,"")</f>
        <v>2</v>
      </c>
      <c r="AC12" s="6">
        <f t="shared" si="0"/>
        <v>1.8333333333333333</v>
      </c>
      <c r="AD12" s="6">
        <f t="shared" si="1"/>
        <v>2.25</v>
      </c>
      <c r="AE12" s="6">
        <f t="shared" si="2"/>
        <v>2.5</v>
      </c>
      <c r="AF12" s="6">
        <f t="shared" si="3"/>
        <v>2.75</v>
      </c>
      <c r="AG12" s="6">
        <f t="shared" si="4"/>
        <v>1.5</v>
      </c>
      <c r="AH12" s="6">
        <f t="shared" si="5"/>
        <v>1.25</v>
      </c>
    </row>
    <row r="13" spans="1:34">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6" t="str">
        <f t="shared" si="0"/>
        <v/>
      </c>
      <c r="AD13" s="6" t="str">
        <f t="shared" si="1"/>
        <v/>
      </c>
      <c r="AE13" s="6" t="str">
        <f t="shared" si="2"/>
        <v/>
      </c>
      <c r="AF13" s="6" t="str">
        <f t="shared" si="3"/>
        <v/>
      </c>
      <c r="AG13" s="6" t="str">
        <f t="shared" si="4"/>
        <v/>
      </c>
      <c r="AH13" s="6" t="str">
        <f t="shared" si="5"/>
        <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tabSelected="1" topLeftCell="H6" zoomScale="213" workbookViewId="0">
      <selection activeCell="J17" sqref="J17"/>
    </sheetView>
  </sheetViews>
  <sheetFormatPr baseColWidth="10" defaultColWidth="9.1640625" defaultRowHeight="15"/>
  <cols>
    <col min="1" max="1" width="5.5" customWidth="1"/>
    <col min="2" max="2" width="8.1640625" customWidth="1"/>
    <col min="5" max="5" width="7.5" customWidth="1"/>
    <col min="6" max="6" width="19.1640625" customWidth="1"/>
    <col min="7" max="7" width="24.5" customWidth="1"/>
    <col min="8" max="8" width="17.33203125" customWidth="1"/>
    <col min="9" max="9" width="2.6640625" customWidth="1"/>
    <col min="11" max="11" width="23.5" customWidth="1"/>
    <col min="12" max="12" width="10.6640625" bestFit="1" customWidth="1"/>
  </cols>
  <sheetData>
    <row r="1" spans="1:18" ht="183" customHeight="1">
      <c r="A1" s="153" t="s">
        <v>1529</v>
      </c>
      <c r="B1" s="154"/>
      <c r="C1" s="154"/>
      <c r="D1" s="154"/>
      <c r="E1" s="154"/>
      <c r="F1" s="154"/>
      <c r="G1" s="154"/>
      <c r="H1" s="154"/>
      <c r="I1" s="154"/>
      <c r="J1" s="154"/>
      <c r="K1" s="154"/>
      <c r="L1" s="154"/>
      <c r="M1" s="154"/>
      <c r="N1" s="154"/>
    </row>
    <row r="2" spans="1:18">
      <c r="A2" s="62" t="s">
        <v>2</v>
      </c>
      <c r="B2" s="63" t="s">
        <v>106</v>
      </c>
      <c r="C2" s="64" t="s">
        <v>107</v>
      </c>
      <c r="D2" s="65" t="s">
        <v>108</v>
      </c>
      <c r="E2" s="64" t="s">
        <v>109</v>
      </c>
      <c r="F2" s="66" t="s">
        <v>117</v>
      </c>
      <c r="G2" s="67" t="s">
        <v>118</v>
      </c>
      <c r="H2" s="64" t="s">
        <v>110</v>
      </c>
      <c r="I2" s="68"/>
      <c r="K2" s="152" t="s">
        <v>1273</v>
      </c>
      <c r="L2" s="152"/>
      <c r="M2" s="152"/>
    </row>
    <row r="3" spans="1:18">
      <c r="A3" s="57">
        <v>1</v>
      </c>
      <c r="B3" s="58">
        <f>AVERAGE(DT!A4:A1004)</f>
        <v>2.1111111111111112</v>
      </c>
      <c r="C3" s="58">
        <f>VAR(DT!A4:A1004)</f>
        <v>0.61111111111111072</v>
      </c>
      <c r="D3" s="58">
        <f>SQRT(C3)</f>
        <v>0.78173595997057133</v>
      </c>
      <c r="E3" s="59">
        <f>COUNTA(Data!A4:A1004)</f>
        <v>9</v>
      </c>
      <c r="F3" s="60" t="str">
        <f>VLOOKUP(Read_First!B5,Items!A1:BA50,2,FALSE)</f>
        <v>Agaçant</v>
      </c>
      <c r="G3" s="60" t="str">
        <f>VLOOKUP(Read_First!B5,Items!A1:BA50,3,FALSE)</f>
        <v>Agréable</v>
      </c>
      <c r="H3" s="61" t="str">
        <f>VLOOKUP(Read_First!B5,Items!A1:BI50,54,FALSE)</f>
        <v>Attraction</v>
      </c>
      <c r="I3" s="121"/>
      <c r="K3" s="9" t="str">
        <f>VLOOKUP(Read_First!B5,Items!A1:BI50,54,FALSE)</f>
        <v>Attraction</v>
      </c>
      <c r="L3" s="10">
        <f>AVERAGE(DT!AC4:AC1004)</f>
        <v>1.9074074074074072</v>
      </c>
      <c r="M3" s="6">
        <f>VAR(DT!AC4:AC1004)</f>
        <v>0.3410493827160499</v>
      </c>
      <c r="R3" s="5"/>
    </row>
    <row r="4" spans="1:18">
      <c r="A4" s="2">
        <v>2</v>
      </c>
      <c r="B4" s="3">
        <f>AVERAGE(DT!B4:B1004)</f>
        <v>1.4444444444444444</v>
      </c>
      <c r="C4" s="3">
        <f>VAR(DT!B4:B1004)</f>
        <v>0.27777777777777768</v>
      </c>
      <c r="D4" s="3">
        <f t="shared" ref="D4:D28" si="0">SQRT(C4)</f>
        <v>0.52704627669472981</v>
      </c>
      <c r="E4" s="4">
        <f>COUNTA(Data!B4:B1004)</f>
        <v>9</v>
      </c>
      <c r="F4" s="18" t="str">
        <f>VLOOKUP(Read_First!B5,Items!A1:BA50,4,FALSE)</f>
        <v>Incompréhensible</v>
      </c>
      <c r="G4" s="18" t="str">
        <f>VLOOKUP(Read_First!B5,Items!A1:BA50,5,FALSE)</f>
        <v>Compréhensible</v>
      </c>
      <c r="H4" s="23" t="str">
        <f>VLOOKUP(Read_First!B5,Items!A1:BI50,55,FALSE)</f>
        <v>Compréhensibilité</v>
      </c>
      <c r="I4" s="8"/>
      <c r="K4" s="9" t="str">
        <f>VLOOKUP(Read_First!B5,Items!A1:BI50,55,FALSE)</f>
        <v>Compréhensibilité</v>
      </c>
      <c r="L4" s="10">
        <f>AVERAGE(DT!AD4:AD1004)</f>
        <v>2</v>
      </c>
      <c r="M4" s="6">
        <f>VAR(DT!AD4:AD1004)</f>
        <v>0.28125</v>
      </c>
    </row>
    <row r="5" spans="1:18">
      <c r="A5" s="2">
        <v>3</v>
      </c>
      <c r="B5" s="3">
        <f>AVERAGE(DT!C4:C1004)</f>
        <v>0.33333333333333331</v>
      </c>
      <c r="C5" s="3">
        <f>VAR(DT!C4:C1004)</f>
        <v>1.5</v>
      </c>
      <c r="D5" s="3">
        <f t="shared" si="0"/>
        <v>1.2247448713915889</v>
      </c>
      <c r="E5" s="4">
        <f>COUNTA(Data!C4:C1004)</f>
        <v>9</v>
      </c>
      <c r="F5" s="18" t="str">
        <f>VLOOKUP(Read_First!B5,Items!A1:BA50,6,FALSE)</f>
        <v>Moderne</v>
      </c>
      <c r="G5" s="18" t="str">
        <f>VLOOKUP(Read_First!B5,Items!A1:BA50,7,FALSE)</f>
        <v>Sans fantaisie</v>
      </c>
      <c r="H5" s="23" t="str">
        <f>VLOOKUP(Read_First!B5,Items!A1:BI50,59,FALSE)</f>
        <v>Originalité</v>
      </c>
      <c r="I5" s="123"/>
      <c r="K5" s="9" t="str">
        <f>VLOOKUP(Read_First!B5,Items!A1:BI50,56,FALSE)</f>
        <v>Efficacité</v>
      </c>
      <c r="L5" s="10">
        <f>AVERAGE(DT!AE4:AE1004)</f>
        <v>1.8611111111111112</v>
      </c>
      <c r="M5" s="6">
        <f>VAR(DT!AE4:AE1004)</f>
        <v>0.39236111111111116</v>
      </c>
    </row>
    <row r="6" spans="1:18">
      <c r="A6" s="2">
        <v>4</v>
      </c>
      <c r="B6" s="3">
        <f>AVERAGE(DT!D4:D1004)</f>
        <v>2</v>
      </c>
      <c r="C6" s="3">
        <f>VAR(DT!D4:D1004)</f>
        <v>1.75</v>
      </c>
      <c r="D6" s="3">
        <f t="shared" si="0"/>
        <v>1.3228756555322954</v>
      </c>
      <c r="E6" s="4">
        <f>COUNTA(Data!D4:D1004)</f>
        <v>9</v>
      </c>
      <c r="F6" s="18" t="str">
        <f>VLOOKUP(Read_First!B5,Items!A1:BA50,8,FALSE)</f>
        <v>Appropriation simple</v>
      </c>
      <c r="G6" s="18" t="str">
        <f>VLOOKUP(Read_First!B5,Items!A1:BA50,9,FALSE)</f>
        <v>Appropriation compliquée</v>
      </c>
      <c r="H6" s="23" t="str">
        <f>VLOOKUP(Read_First!B5,Items!A1:BI50,55,FALSE)</f>
        <v>Compréhensibilité</v>
      </c>
      <c r="I6" s="8"/>
      <c r="K6" s="11" t="str">
        <f>VLOOKUP(Read_First!B5,Items!A1:BI50,57,FALSE)</f>
        <v>Contrôlabilité</v>
      </c>
      <c r="L6" s="10">
        <f>AVERAGE(DT!AF4:AF1004)</f>
        <v>1.4444444444444444</v>
      </c>
      <c r="M6" s="6">
        <f>VAR(DT!AF4:AF1004)</f>
        <v>0.74652777777777768</v>
      </c>
    </row>
    <row r="7" spans="1:18">
      <c r="A7" s="2">
        <v>5</v>
      </c>
      <c r="B7" s="3">
        <f>AVERAGE(DT!E4:E1004)</f>
        <v>2.1111111111111112</v>
      </c>
      <c r="C7" s="3">
        <f>VAR(DT!E4:E1004)</f>
        <v>0.61111111111111072</v>
      </c>
      <c r="D7" s="3">
        <f t="shared" si="0"/>
        <v>0.78173595997057133</v>
      </c>
      <c r="E7" s="4">
        <f>COUNTA(Data!E4:E1004)</f>
        <v>9</v>
      </c>
      <c r="F7" s="18" t="str">
        <f>VLOOKUP(Read_First!B5,Items!A1:BA50,10,FALSE)</f>
        <v>Apporte de la valeur</v>
      </c>
      <c r="G7" s="18" t="str">
        <f>VLOOKUP(Read_First!B5,Items!A1:BA50,11,FALSE)</f>
        <v>Peu de valeur ajoutée</v>
      </c>
      <c r="H7" s="24" t="str">
        <f>VLOOKUP(Read_First!B5,Items!A1:BI50,58,FALSE)</f>
        <v>Stimulation</v>
      </c>
      <c r="I7" s="124"/>
      <c r="K7" s="11" t="str">
        <f>VLOOKUP(Read_First!B5,Items!A1:BI50,58,FALSE)</f>
        <v>Stimulation</v>
      </c>
      <c r="L7" s="10">
        <f>AVERAGE(DT!AG4:AG1004)</f>
        <v>1.4722222222222223</v>
      </c>
      <c r="M7" s="6">
        <f>VAR(DT!AG4:AG1004)</f>
        <v>0.33506944444444464</v>
      </c>
    </row>
    <row r="8" spans="1:18">
      <c r="A8" s="2">
        <v>6</v>
      </c>
      <c r="B8" s="3">
        <f>AVERAGE(DT!F4:F1004)</f>
        <v>0.77777777777777779</v>
      </c>
      <c r="C8" s="3">
        <f>VAR(DT!F4:F1004)</f>
        <v>0.69444444444444442</v>
      </c>
      <c r="D8" s="3">
        <f t="shared" si="0"/>
        <v>0.83333333333333337</v>
      </c>
      <c r="E8" s="4">
        <f>COUNTA(Data!F4:F1004)</f>
        <v>9</v>
      </c>
      <c r="F8" s="18" t="str">
        <f>VLOOKUP(Read_First!B5,Items!A1:BA50,12,FALSE)</f>
        <v>Ennuyeux</v>
      </c>
      <c r="G8" s="18" t="str">
        <f>VLOOKUP(Read_First!B5,Items!A1:BA50,13,FALSE)</f>
        <v>Captivant</v>
      </c>
      <c r="H8" s="24" t="str">
        <f>VLOOKUP(Read_First!B5,Items!A1:BI50,58,FALSE)</f>
        <v>Stimulation</v>
      </c>
      <c r="I8" s="124"/>
      <c r="K8" s="9" t="str">
        <f>VLOOKUP(Read_First!B5,Items!A1:BI50,59,FALSE)</f>
        <v>Originalité</v>
      </c>
      <c r="L8" s="10">
        <f>AVERAGE(DT!AH4:AH1004)</f>
        <v>0.88888888888888884</v>
      </c>
      <c r="M8" s="6">
        <f>VAR(DT!AH4:AH1004)</f>
        <v>0.17361111111111116</v>
      </c>
    </row>
    <row r="9" spans="1:18">
      <c r="A9" s="2">
        <v>7</v>
      </c>
      <c r="B9" s="3">
        <f>AVERAGE(DT!G4:G1004)</f>
        <v>1.6666666666666667</v>
      </c>
      <c r="C9" s="3">
        <f>VAR(DT!G4:G1004)</f>
        <v>0.5</v>
      </c>
      <c r="D9" s="3">
        <f t="shared" si="0"/>
        <v>0.70710678118654757</v>
      </c>
      <c r="E9" s="4">
        <f>COUNTA(Data!G4:G1004)</f>
        <v>9</v>
      </c>
      <c r="F9" s="18" t="str">
        <f>VLOOKUP(Read_First!B5,Items!A1:BA50,14,FALSE)</f>
        <v>Inintéressant</v>
      </c>
      <c r="G9" s="18" t="str">
        <f>VLOOKUP(Read_First!B5,Items!A1:BA50,15,FALSE)</f>
        <v>Intéressant</v>
      </c>
      <c r="H9" s="24" t="str">
        <f>VLOOKUP(Read_First!B5,Items!A1:BI50,58,FALSE)</f>
        <v>Stimulation</v>
      </c>
      <c r="I9" s="124"/>
    </row>
    <row r="10" spans="1:18">
      <c r="A10" s="2">
        <v>8</v>
      </c>
      <c r="B10" s="3">
        <f>AVERAGE(DT!H4:H1004)</f>
        <v>1.3333333333333333</v>
      </c>
      <c r="C10" s="3">
        <f>VAR(DT!H4:H1004)</f>
        <v>2.25</v>
      </c>
      <c r="D10" s="3">
        <f t="shared" si="0"/>
        <v>1.5</v>
      </c>
      <c r="E10" s="4">
        <f>COUNTA(Data!H4:H1004)</f>
        <v>9</v>
      </c>
      <c r="F10" s="18" t="str">
        <f>VLOOKUP(Read_First!B5,Items!A1:BA50,16,FALSE)</f>
        <v>Imprévisible</v>
      </c>
      <c r="G10" s="18" t="str">
        <f>VLOOKUP(Read_First!B5,Items!A1:BA50,17,FALSE)</f>
        <v>Prévisible</v>
      </c>
      <c r="H10" s="23" t="str">
        <f>VLOOKUP(Read_First!B5,Items!A1:BI50,57,FALSE)</f>
        <v>Contrôlabilité</v>
      </c>
      <c r="I10" s="126"/>
    </row>
    <row r="11" spans="1:18">
      <c r="A11" s="2">
        <v>9</v>
      </c>
      <c r="B11" s="3">
        <f>AVERAGE(DT!I4:I1004)</f>
        <v>1.3333333333333333</v>
      </c>
      <c r="C11" s="3">
        <f>VAR(DT!I4:I1004)</f>
        <v>5</v>
      </c>
      <c r="D11" s="3">
        <f t="shared" si="0"/>
        <v>2.2360679774997898</v>
      </c>
      <c r="E11" s="4">
        <f>COUNTA(Data!I4:I1004)</f>
        <v>9</v>
      </c>
      <c r="F11" s="18" t="str">
        <f>VLOOKUP(Read_First!B5,Items!A1:BA50,18,FALSE)</f>
        <v>Rapide</v>
      </c>
      <c r="G11" s="18" t="str">
        <f>VLOOKUP(Read_First!B5,Items!A1:BA50,19,FALSE)</f>
        <v>Lent</v>
      </c>
      <c r="H11" s="23" t="str">
        <f>VLOOKUP(Read_First!B5,Items!A1:BI50,56,FALSE)</f>
        <v>Efficacité</v>
      </c>
      <c r="I11" s="125"/>
    </row>
    <row r="12" spans="1:18">
      <c r="A12" s="2">
        <v>10</v>
      </c>
      <c r="B12" s="3">
        <f>AVERAGE(DT!J4:J1004)</f>
        <v>1</v>
      </c>
      <c r="C12" s="3">
        <f>VAR(DT!J4:J1004)</f>
        <v>0.5</v>
      </c>
      <c r="D12" s="3">
        <f t="shared" si="0"/>
        <v>0.70710678118654757</v>
      </c>
      <c r="E12" s="4">
        <f>COUNTA(Data!J4:J1004)</f>
        <v>9</v>
      </c>
      <c r="F12" s="18" t="str">
        <f>VLOOKUP(Read_First!B5,Items!A1:BA50,20,FALSE)</f>
        <v>Original</v>
      </c>
      <c r="G12" s="18" t="str">
        <f>VLOOKUP(Read_First!B5,Items!A1:BA50,21,FALSE)</f>
        <v>Conventionnel</v>
      </c>
      <c r="H12" s="23" t="str">
        <f>VLOOKUP(Read_First!B5,Items!A1:BI50,59,FALSE)</f>
        <v>Originalité</v>
      </c>
      <c r="I12" s="123"/>
    </row>
    <row r="13" spans="1:18">
      <c r="A13" s="2">
        <v>11</v>
      </c>
      <c r="B13" s="3">
        <f>AVERAGE(DT!K4:K1004)</f>
        <v>2</v>
      </c>
      <c r="C13" s="3">
        <f>VAR(DT!K4:K1004)</f>
        <v>0.75</v>
      </c>
      <c r="D13" s="3">
        <f t="shared" si="0"/>
        <v>0.8660254037844386</v>
      </c>
      <c r="E13" s="4">
        <f>COUNTA(Data!K4:K1004)</f>
        <v>9</v>
      </c>
      <c r="F13" s="18" t="str">
        <f>VLOOKUP(Read_First!B5,Items!A1:BA50,22,FALSE)</f>
        <v>Rigide</v>
      </c>
      <c r="G13" s="18" t="str">
        <f>VLOOKUP(Read_First!B5,Items!A1:BA50,23,FALSE)</f>
        <v>Facilitant</v>
      </c>
      <c r="H13" s="23" t="str">
        <f>VLOOKUP(Read_First!B5,Items!A1:BI50,57,FALSE)</f>
        <v>Contrôlabilité</v>
      </c>
      <c r="I13" s="126"/>
    </row>
    <row r="14" spans="1:18">
      <c r="A14" s="2">
        <v>12</v>
      </c>
      <c r="B14" s="3">
        <f>AVERAGE(DT!L4:L1004)</f>
        <v>2.1111111111111112</v>
      </c>
      <c r="C14" s="3">
        <f>VAR(DT!L4:L1004)</f>
        <v>0.61111111111111072</v>
      </c>
      <c r="D14" s="3">
        <f t="shared" si="0"/>
        <v>0.78173595997057133</v>
      </c>
      <c r="E14" s="4">
        <f>COUNTA(Data!L4:L1004)</f>
        <v>9</v>
      </c>
      <c r="F14" s="18" t="str">
        <f>VLOOKUP(Read_First!B5,Items!A1:BA50,24,FALSE)</f>
        <v>Bien</v>
      </c>
      <c r="G14" s="18" t="str">
        <f>VLOOKUP(Read_First!B5,Items!A1:BA50,25,FALSE)</f>
        <v>Médiocre</v>
      </c>
      <c r="H14" s="23" t="str">
        <f>VLOOKUP(Read_First!B5,Items!A1:BI50,54,FALSE)</f>
        <v>Attraction</v>
      </c>
      <c r="I14" s="122"/>
    </row>
    <row r="15" spans="1:18">
      <c r="A15" s="2">
        <v>13</v>
      </c>
      <c r="B15" s="3">
        <f>AVERAGE(DT!M4:M1004)</f>
        <v>2.3333333333333335</v>
      </c>
      <c r="C15" s="3">
        <f>VAR(DT!M4:M1004)</f>
        <v>0.5</v>
      </c>
      <c r="D15" s="3">
        <f t="shared" si="0"/>
        <v>0.70710678118654757</v>
      </c>
      <c r="E15" s="4">
        <f>COUNTA(Data!M4:M1004)</f>
        <v>9</v>
      </c>
      <c r="F15" s="18" t="str">
        <f>VLOOKUP(Read_First!B5,Items!A1:BA50,26,FALSE)</f>
        <v>Compliqué</v>
      </c>
      <c r="G15" s="18" t="str">
        <f>VLOOKUP(Read_First!B5,Items!A1:BA50,27,FALSE)</f>
        <v>Simple</v>
      </c>
      <c r="H15" s="23" t="str">
        <f>VLOOKUP(Read_First!B5,Items!A1:BI50,55,FALSE)</f>
        <v>Compréhensibilité</v>
      </c>
      <c r="I15" s="8"/>
    </row>
    <row r="16" spans="1:18">
      <c r="A16" s="2">
        <v>14</v>
      </c>
      <c r="B16" s="3">
        <f>AVERAGE(DT!N4:N1004)</f>
        <v>1.8888888888888888</v>
      </c>
      <c r="C16" s="3">
        <f>VAR(DT!N4:N1004)</f>
        <v>1.1111111111111107</v>
      </c>
      <c r="D16" s="3">
        <f t="shared" si="0"/>
        <v>1.0540925533894596</v>
      </c>
      <c r="E16" s="4">
        <f>COUNTA(Data!N4:N1004)</f>
        <v>9</v>
      </c>
      <c r="F16" s="18" t="str">
        <f>VLOOKUP(Read_First!B5,Items!A1:BA50,28,FALSE)</f>
        <v>Repoussant</v>
      </c>
      <c r="G16" s="18" t="str">
        <f>VLOOKUP(Read_First!B5,Items!A1:BA50,29,FALSE)</f>
        <v>Attractif</v>
      </c>
      <c r="H16" s="23" t="str">
        <f>VLOOKUP(Read_First!B5,Items!A1:BI50,54,FALSE)</f>
        <v>Attraction</v>
      </c>
      <c r="I16" s="122"/>
    </row>
    <row r="17" spans="1:9">
      <c r="A17" s="2">
        <v>15</v>
      </c>
      <c r="B17" s="3">
        <f>AVERAGE(DT!O4:O1004)</f>
        <v>0.88888888888888884</v>
      </c>
      <c r="C17" s="3">
        <f>VAR(DT!O4:O1004)</f>
        <v>1.1111111111111112</v>
      </c>
      <c r="D17" s="3">
        <f t="shared" si="0"/>
        <v>1.0540925533894598</v>
      </c>
      <c r="E17" s="4">
        <f>COUNTA(Data!O4:O1004)</f>
        <v>9</v>
      </c>
      <c r="F17" s="18" t="str">
        <f>VLOOKUP(Read_First!B5,Items!A1:BA50,30,FALSE)</f>
        <v>Habituel</v>
      </c>
      <c r="G17" s="18" t="str">
        <f>VLOOKUP(Read_First!B5,Items!A1:BA50,31,FALSE)</f>
        <v>Avant-gardiste</v>
      </c>
      <c r="H17" s="23" t="str">
        <f>VLOOKUP(Read_First!B5,Items!A1:BI50,59,FALSE)</f>
        <v>Originalité</v>
      </c>
      <c r="I17" s="123"/>
    </row>
    <row r="18" spans="1:9">
      <c r="A18" s="2">
        <v>16</v>
      </c>
      <c r="B18" s="3">
        <f>AVERAGE(DT!P4:P1004)</f>
        <v>1.6666666666666667</v>
      </c>
      <c r="C18" s="3">
        <f>VAR(DT!P4:P1004)</f>
        <v>0.25</v>
      </c>
      <c r="D18" s="3">
        <f t="shared" si="0"/>
        <v>0.5</v>
      </c>
      <c r="E18" s="4">
        <f>COUNTA(Data!P4:P1004)</f>
        <v>9</v>
      </c>
      <c r="F18" s="18" t="str">
        <f>VLOOKUP(Read_First!B5,Items!A1:BA50,32,FALSE)</f>
        <v>Désagréable</v>
      </c>
      <c r="G18" s="18" t="str">
        <f>VLOOKUP(Read_First!B5,Items!A1:BA50,33,FALSE)</f>
        <v>Agréable</v>
      </c>
      <c r="H18" s="23" t="str">
        <f>VLOOKUP(Read_First!B5,Items!A1:BI50,54,FALSE)</f>
        <v>Attraction</v>
      </c>
      <c r="I18" s="122"/>
    </row>
    <row r="19" spans="1:9">
      <c r="A19" s="2">
        <v>17</v>
      </c>
      <c r="B19" s="3">
        <f>AVERAGE(DT!Q4:Q1004)</f>
        <v>0.88888888888888884</v>
      </c>
      <c r="C19" s="3">
        <f>VAR(DT!Q4:Q1004)</f>
        <v>0.86111111111111116</v>
      </c>
      <c r="D19" s="3">
        <f t="shared" si="0"/>
        <v>0.92796072713833699</v>
      </c>
      <c r="E19" s="4">
        <f>COUNTA(Data!Q4:Q1004)</f>
        <v>9</v>
      </c>
      <c r="F19" s="18" t="str">
        <f>VLOOKUP(Read_First!B5,Items!A1:BA50,34,FALSE)</f>
        <v>Sécurisant</v>
      </c>
      <c r="G19" s="18" t="str">
        <f>VLOOKUP(Read_First!B5,Items!A1:BA50,35,FALSE)</f>
        <v>Insécurisant</v>
      </c>
      <c r="H19" s="23" t="str">
        <f>VLOOKUP(Read_First!B5,Items!A1:BI50,57,FALSE)</f>
        <v>Contrôlabilité</v>
      </c>
      <c r="I19" s="126"/>
    </row>
    <row r="20" spans="1:9">
      <c r="A20" s="2">
        <v>18</v>
      </c>
      <c r="B20" s="3">
        <f>AVERAGE(DT!R4:R1004)</f>
        <v>1.3333333333333333</v>
      </c>
      <c r="C20" s="3">
        <f>VAR(DT!R4:R1004)</f>
        <v>0.75</v>
      </c>
      <c r="D20" s="3">
        <f t="shared" si="0"/>
        <v>0.8660254037844386</v>
      </c>
      <c r="E20" s="4">
        <f>COUNTA(Data!R4:R1004)</f>
        <v>9</v>
      </c>
      <c r="F20" s="18" t="str">
        <f>VLOOKUP(Read_First!B5,Items!A1:BA50,36,FALSE)</f>
        <v>Stimulant</v>
      </c>
      <c r="G20" s="18" t="str">
        <f>VLOOKUP(Read_First!B5,Items!A1:BA50,37,FALSE)</f>
        <v>Soporifique</v>
      </c>
      <c r="H20" s="24" t="str">
        <f>VLOOKUP(Read_First!B5,Items!A1:BI50,58,FALSE)</f>
        <v>Stimulation</v>
      </c>
      <c r="I20" s="124"/>
    </row>
    <row r="21" spans="1:9">
      <c r="A21" s="2">
        <v>19</v>
      </c>
      <c r="B21" s="3">
        <f>AVERAGE(DT!S4:S1004)</f>
        <v>1.5555555555555556</v>
      </c>
      <c r="C21" s="3">
        <f>VAR(DT!S4:S1004)</f>
        <v>1.5277777777777777</v>
      </c>
      <c r="D21" s="3">
        <f t="shared" si="0"/>
        <v>1.2360330811826103</v>
      </c>
      <c r="E21" s="4">
        <f>COUNTA(Data!S4:S1004)</f>
        <v>9</v>
      </c>
      <c r="F21" s="18" t="str">
        <f>VLOOKUP(Read_First!B5,Items!A1:BA50,38,FALSE)</f>
        <v>Répond aux attentes</v>
      </c>
      <c r="G21" s="18" t="str">
        <f>VLOOKUP(Read_First!B5,Items!A1:BA50,39,FALSE)</f>
        <v>Ne répond pas aux attentes</v>
      </c>
      <c r="H21" s="23" t="str">
        <f>VLOOKUP(Read_First!B5,Items!A1:BI50,57,FALSE)</f>
        <v>Contrôlabilité</v>
      </c>
      <c r="I21" s="126"/>
    </row>
    <row r="22" spans="1:9">
      <c r="A22" s="2">
        <v>20</v>
      </c>
      <c r="B22" s="3">
        <f>AVERAGE(DT!T4:T1004)</f>
        <v>1.6666666666666667</v>
      </c>
      <c r="C22" s="3">
        <f>VAR(DT!T4:T1004)</f>
        <v>0.75</v>
      </c>
      <c r="D22" s="3">
        <f t="shared" si="0"/>
        <v>0.8660254037844386</v>
      </c>
      <c r="E22" s="4">
        <f>COUNTA(Data!T4:T1004)</f>
        <v>9</v>
      </c>
      <c r="F22" s="18" t="str">
        <f>VLOOKUP(Read_First!B5,Items!A1:BA50,40,FALSE)</f>
        <v>Inefficace</v>
      </c>
      <c r="G22" s="18" t="str">
        <f>VLOOKUP(Read_First!B5,Items!A1:BA50,41,FALSE)</f>
        <v>Efficace</v>
      </c>
      <c r="H22" s="23" t="str">
        <f>VLOOKUP(Read_First!B5,Items!A1:BI50,56,FALSE)</f>
        <v>Efficacité</v>
      </c>
      <c r="I22" s="125"/>
    </row>
    <row r="23" spans="1:9">
      <c r="A23" s="2">
        <v>21</v>
      </c>
      <c r="B23" s="3">
        <f>AVERAGE(DT!U4:U1004)</f>
        <v>2.2222222222222223</v>
      </c>
      <c r="C23" s="3">
        <f>VAR(DT!U4:U1004)</f>
        <v>0.44444444444444464</v>
      </c>
      <c r="D23" s="3">
        <f t="shared" si="0"/>
        <v>0.66666666666666685</v>
      </c>
      <c r="E23" s="4">
        <f>COUNTA(Data!U4:U1004)</f>
        <v>9</v>
      </c>
      <c r="F23" s="18" t="str">
        <f>VLOOKUP(Read_First!B5,Items!A1:BA50,42,FALSE)</f>
        <v>Clair</v>
      </c>
      <c r="G23" s="18" t="str">
        <f>VLOOKUP(Read_First!B5,Items!A1:BA50,43,FALSE)</f>
        <v>Déroutant</v>
      </c>
      <c r="H23" s="23" t="str">
        <f>VLOOKUP(Read_First!B5,Items!A1:BI50,55,FALSE)</f>
        <v>Compréhensibilité</v>
      </c>
      <c r="I23" s="8"/>
    </row>
    <row r="24" spans="1:9">
      <c r="A24" s="2">
        <v>22</v>
      </c>
      <c r="B24" s="3">
        <f>AVERAGE(DT!V4:V1004)</f>
        <v>1.8888888888888888</v>
      </c>
      <c r="C24" s="3">
        <f>VAR(DT!V4:V1004)</f>
        <v>0.86111111111111072</v>
      </c>
      <c r="D24" s="3">
        <f t="shared" si="0"/>
        <v>0.92796072713833677</v>
      </c>
      <c r="E24" s="4">
        <f>COUNTA(Data!V4:V1004)</f>
        <v>9</v>
      </c>
      <c r="F24" s="18" t="str">
        <f>VLOOKUP(Read_First!B5,Items!A1:BA50,44,FALSE)</f>
        <v>Non pragmatique</v>
      </c>
      <c r="G24" s="18" t="str">
        <f>VLOOKUP(Read_First!B5,Items!A1:BA50,45,FALSE)</f>
        <v xml:space="preserve">Pragmatique </v>
      </c>
      <c r="H24" s="23" t="str">
        <f>VLOOKUP(Read_First!B5,Items!A1:BI50,56,FALSE)</f>
        <v>Efficacité</v>
      </c>
      <c r="I24" s="125"/>
    </row>
    <row r="25" spans="1:9">
      <c r="A25" s="2">
        <v>23</v>
      </c>
      <c r="B25" s="3">
        <f>AVERAGE(DT!W4:W1004)</f>
        <v>2.5555555555555554</v>
      </c>
      <c r="C25" s="3">
        <f>VAR(DT!W4:W1004)</f>
        <v>0.27777777777777768</v>
      </c>
      <c r="D25" s="3">
        <f t="shared" si="0"/>
        <v>0.52704627669472981</v>
      </c>
      <c r="E25" s="4">
        <f>COUNTA(Data!W4:W1004)</f>
        <v>9</v>
      </c>
      <c r="F25" s="18" t="str">
        <f>VLOOKUP(Read_First!B5,Items!A1:BA50,46,FALSE)</f>
        <v>Sobre</v>
      </c>
      <c r="G25" s="18" t="str">
        <f>VLOOKUP(Read_First!B5,Items!A1:BA50,47,FALSE)</f>
        <v>Surchargé</v>
      </c>
      <c r="H25" s="23" t="str">
        <f>VLOOKUP(Read_First!B5,Items!A1:BI50,56,FALSE)</f>
        <v>Efficacité</v>
      </c>
      <c r="I25" s="125"/>
    </row>
    <row r="26" spans="1:9">
      <c r="A26" s="2">
        <v>24</v>
      </c>
      <c r="B26" s="3">
        <f>AVERAGE(DT!X4:X1004)</f>
        <v>2</v>
      </c>
      <c r="C26" s="3">
        <f>VAR(DT!X4:X1004)</f>
        <v>0.5</v>
      </c>
      <c r="D26" s="3">
        <f t="shared" si="0"/>
        <v>0.70710678118654757</v>
      </c>
      <c r="E26" s="4">
        <f>COUNTA(Data!X4:X1004)</f>
        <v>9</v>
      </c>
      <c r="F26" s="18" t="str">
        <f>VLOOKUP(Read_First!B5,Items!A1:BA50,48,FALSE)</f>
        <v>Attrayant</v>
      </c>
      <c r="G26" s="18" t="str">
        <f>VLOOKUP(Read_First!B5,Items!A1:BA50,49,FALSE)</f>
        <v>Rébarbatif</v>
      </c>
      <c r="H26" s="23" t="str">
        <f>VLOOKUP(Read_First!B5,Items!A1:BI50,54,FALSE)</f>
        <v>Attraction</v>
      </c>
      <c r="I26" s="122"/>
    </row>
    <row r="27" spans="1:9">
      <c r="A27" s="2">
        <v>25</v>
      </c>
      <c r="B27" s="3">
        <f>AVERAGE(DT!Y4:Y1004)</f>
        <v>1.6666666666666667</v>
      </c>
      <c r="C27" s="3">
        <f>VAR(DT!Y4:Y1004)</f>
        <v>2.25</v>
      </c>
      <c r="D27" s="3">
        <f t="shared" si="0"/>
        <v>1.5</v>
      </c>
      <c r="E27" s="4">
        <f>COUNTA(Data!Y4:Y1004)</f>
        <v>9</v>
      </c>
      <c r="F27" s="18" t="str">
        <f>VLOOKUP(Read_First!B5,Items!A1:BA50,50,FALSE)</f>
        <v>Sympathique</v>
      </c>
      <c r="G27" s="18" t="str">
        <f>VLOOKUP(Read_First!B5,Items!A1:BA50,51,FALSE)</f>
        <v>Inamical</v>
      </c>
      <c r="H27" s="23" t="str">
        <f>VLOOKUP(Read_First!B5,Items!A1:BI50,54,FALSE)</f>
        <v>Attraction</v>
      </c>
      <c r="I27" s="122"/>
    </row>
    <row r="28" spans="1:9">
      <c r="A28" s="2">
        <v>26</v>
      </c>
      <c r="B28" s="3">
        <f>AVERAGE(DT!Z4:Z1004)</f>
        <v>1.3333333333333333</v>
      </c>
      <c r="C28" s="3">
        <f>VAR(DT!Z4:Z1004)</f>
        <v>0.5</v>
      </c>
      <c r="D28" s="3">
        <f t="shared" si="0"/>
        <v>0.70710678118654757</v>
      </c>
      <c r="E28" s="4">
        <f>COUNTA(Data!Z4:Z1004)</f>
        <v>9</v>
      </c>
      <c r="F28" s="18" t="str">
        <f>VLOOKUP(Read_First!B5,Items!A1:BA50,52,FALSE)</f>
        <v>Conservateur</v>
      </c>
      <c r="G28" s="18" t="str">
        <f>VLOOKUP(Read_First!B5,Items!A1:BA50,53,FALSE)</f>
        <v>Innovant</v>
      </c>
      <c r="H28" s="23" t="str">
        <f>VLOOKUP(Read_First!B5,Items!A1:BI50,59,FALSE)</f>
        <v>Originalité</v>
      </c>
      <c r="I28" s="123"/>
    </row>
    <row r="39" spans="11:15">
      <c r="K39" s="152" t="s">
        <v>820</v>
      </c>
      <c r="L39" s="152"/>
    </row>
    <row r="40" spans="11:15">
      <c r="K40" s="34" t="str">
        <f>VLOOKUP(Read_First!B5,Items!A1:BI50,54,FALSE)</f>
        <v>Attraction</v>
      </c>
      <c r="L40" s="35">
        <f>AVERAGE(DT!AC4:AC1004)</f>
        <v>1.9074074074074072</v>
      </c>
    </row>
    <row r="41" spans="11:15">
      <c r="K41" s="1" t="str">
        <f>VLOOKUP(Read_First!B5,Items!A1:BI50,60,FALSE)</f>
        <v>Qualité Pragmatique</v>
      </c>
      <c r="L41" s="36">
        <f>(L4+L5+L6)/3</f>
        <v>1.7685185185185184</v>
      </c>
    </row>
    <row r="42" spans="11:15">
      <c r="K42" s="1" t="str">
        <f>VLOOKUP(Read_First!B5,Items!A1:BI50,61,FALSE)</f>
        <v>Qualité Hédonique</v>
      </c>
      <c r="L42" s="36">
        <f>(L7+L8)/2</f>
        <v>1.1805555555555556</v>
      </c>
    </row>
    <row r="44" spans="11:15" ht="102.75" customHeight="1">
      <c r="K44" s="141" t="s">
        <v>821</v>
      </c>
      <c r="L44" s="141"/>
      <c r="M44" s="141"/>
      <c r="N44" s="141"/>
      <c r="O44" s="141"/>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topLeftCell="A16" workbookViewId="0">
      <selection activeCell="M5" sqref="M5"/>
    </sheetView>
  </sheetViews>
  <sheetFormatPr baseColWidth="10" defaultColWidth="9.1640625" defaultRowHeight="15"/>
  <cols>
    <col min="5" max="5" width="12.6640625" customWidth="1"/>
    <col min="9" max="9" width="18.6640625" customWidth="1"/>
    <col min="13" max="13" width="11.83203125" customWidth="1"/>
    <col min="15" max="15" width="9.5" customWidth="1"/>
  </cols>
  <sheetData>
    <row r="1" spans="1:15" ht="100.75" customHeight="1">
      <c r="A1" s="158" t="s">
        <v>1282</v>
      </c>
      <c r="B1" s="159"/>
      <c r="C1" s="159"/>
      <c r="D1" s="159"/>
      <c r="E1" s="159"/>
      <c r="F1" s="159"/>
      <c r="G1" s="159"/>
      <c r="H1" s="159"/>
      <c r="I1" s="159"/>
      <c r="J1" s="159"/>
      <c r="K1" s="159"/>
      <c r="L1" s="159"/>
      <c r="M1" s="159"/>
      <c r="N1" s="159"/>
      <c r="O1" s="159"/>
    </row>
    <row r="3" spans="1:15">
      <c r="A3" s="155" t="s">
        <v>114</v>
      </c>
      <c r="B3" s="155"/>
      <c r="C3" s="155"/>
      <c r="D3" s="155"/>
      <c r="E3" s="155"/>
      <c r="F3" s="155"/>
      <c r="G3" s="155"/>
      <c r="I3" s="155" t="s">
        <v>111</v>
      </c>
      <c r="J3" s="155"/>
      <c r="K3" s="155"/>
      <c r="L3" s="155"/>
      <c r="M3" s="155"/>
      <c r="N3" s="155"/>
      <c r="O3" s="155"/>
    </row>
    <row r="4" spans="1:15">
      <c r="A4" s="101" t="s">
        <v>2</v>
      </c>
      <c r="B4" s="102" t="s">
        <v>106</v>
      </c>
      <c r="C4" s="102" t="s">
        <v>108</v>
      </c>
      <c r="D4" s="103" t="s">
        <v>3</v>
      </c>
      <c r="E4" s="102" t="s">
        <v>112</v>
      </c>
      <c r="F4" s="156" t="s">
        <v>113</v>
      </c>
      <c r="G4" s="157"/>
      <c r="I4" s="104" t="s">
        <v>110</v>
      </c>
      <c r="J4" s="103" t="s">
        <v>106</v>
      </c>
      <c r="K4" s="103" t="s">
        <v>108</v>
      </c>
      <c r="L4" s="103" t="s">
        <v>3</v>
      </c>
      <c r="M4" s="105" t="s">
        <v>112</v>
      </c>
      <c r="N4" s="156" t="s">
        <v>113</v>
      </c>
      <c r="O4" s="157"/>
    </row>
    <row r="5" spans="1:15">
      <c r="A5" s="71">
        <v>1</v>
      </c>
      <c r="B5" s="70">
        <f>Results!B3</f>
        <v>2.1111111111111112</v>
      </c>
      <c r="C5" s="70">
        <f>Results!D3</f>
        <v>0.78173595997057133</v>
      </c>
      <c r="D5" s="59">
        <f>Results!E3</f>
        <v>9</v>
      </c>
      <c r="E5" s="70">
        <f t="shared" ref="E5:E24" si="0">CONFIDENCE(0.05, C5, D5)</f>
        <v>0.51072477565405494</v>
      </c>
      <c r="F5" s="70">
        <f t="shared" ref="F5:F24" si="1">B5-E5</f>
        <v>1.6003863354570562</v>
      </c>
      <c r="G5" s="70">
        <f t="shared" ref="G5:G24" si="2">B5+E5</f>
        <v>2.6218358867651661</v>
      </c>
      <c r="I5" s="72" t="str">
        <f>VLOOKUP(Read_First!B5,Items!A1:BI50,54,FALSE)</f>
        <v>Attraction</v>
      </c>
      <c r="J5" s="70">
        <f>AVERAGE(DT!AC4:AC1004)</f>
        <v>1.9074074074074072</v>
      </c>
      <c r="K5" s="70">
        <f>STDEV(DT!AC4:AC1004)</f>
        <v>0.58399433448968485</v>
      </c>
      <c r="L5" s="59">
        <f>MAX(D5:D24)</f>
        <v>9</v>
      </c>
      <c r="M5" s="70">
        <f>CONFIDENCE(0.05, K5, L5)</f>
        <v>0.38153595425840653</v>
      </c>
      <c r="N5" s="70">
        <f t="shared" ref="N5:N10" si="3">J5-M5</f>
        <v>1.5258714531490007</v>
      </c>
      <c r="O5" s="70">
        <f t="shared" ref="O5:O10" si="4">J5+M5</f>
        <v>2.2889433616658139</v>
      </c>
    </row>
    <row r="6" spans="1:15">
      <c r="A6" s="12">
        <v>2</v>
      </c>
      <c r="B6" s="10">
        <f>Results!B4</f>
        <v>1.4444444444444444</v>
      </c>
      <c r="C6" s="10">
        <f>Results!D4</f>
        <v>0.52704627669472981</v>
      </c>
      <c r="D6" s="4">
        <f>Results!E4</f>
        <v>9</v>
      </c>
      <c r="E6" s="10">
        <f t="shared" si="0"/>
        <v>0.3443305735025341</v>
      </c>
      <c r="F6" s="10">
        <f t="shared" si="1"/>
        <v>1.1001138709419103</v>
      </c>
      <c r="G6" s="10">
        <f t="shared" si="2"/>
        <v>1.7887750179469786</v>
      </c>
      <c r="I6" s="9" t="str">
        <f>VLOOKUP(Read_First!B5,Items!A1:BI50,55,FALSE)</f>
        <v>Compréhensibilité</v>
      </c>
      <c r="J6" s="10">
        <f>AVERAGE(DT!AD4:AD1004)</f>
        <v>2</v>
      </c>
      <c r="K6" s="10">
        <f>STDEV(DT!AD4:AD1004)</f>
        <v>0.5303300858899106</v>
      </c>
      <c r="L6" s="4">
        <f>L5</f>
        <v>9</v>
      </c>
      <c r="M6" s="10">
        <f t="shared" ref="M6:M10" si="5">CONFIDENCE(0.05, K6, L6)</f>
        <v>0.34647595608741932</v>
      </c>
      <c r="N6" s="10">
        <f t="shared" si="3"/>
        <v>1.6535240439125807</v>
      </c>
      <c r="O6" s="10">
        <f t="shared" si="4"/>
        <v>2.3464759560874193</v>
      </c>
    </row>
    <row r="7" spans="1:15">
      <c r="A7" s="12">
        <v>3</v>
      </c>
      <c r="B7" s="10">
        <f>Results!B5</f>
        <v>0.33333333333333331</v>
      </c>
      <c r="C7" s="10">
        <f>Results!D5</f>
        <v>1.2247448713915889</v>
      </c>
      <c r="D7" s="4">
        <f>Results!E5</f>
        <v>9</v>
      </c>
      <c r="E7" s="10">
        <f t="shared" si="0"/>
        <v>0.80015194605921802</v>
      </c>
      <c r="F7" s="10">
        <f t="shared" si="1"/>
        <v>-0.46681861272588471</v>
      </c>
      <c r="G7" s="10">
        <f t="shared" si="2"/>
        <v>1.1334852793925514</v>
      </c>
      <c r="I7" s="9" t="str">
        <f>VLOOKUP(Read_First!B5,Items!A1:BI50,56,FALSE)</f>
        <v>Efficacité</v>
      </c>
      <c r="J7" s="10">
        <f>AVERAGE(DT!AE4:AE1004)</f>
        <v>1.8611111111111112</v>
      </c>
      <c r="K7" s="10">
        <f>STDEV(DT!AE4:AE1004)</f>
        <v>0.62638734909887117</v>
      </c>
      <c r="L7" s="4">
        <f>L6</f>
        <v>9</v>
      </c>
      <c r="M7" s="10">
        <f t="shared" si="5"/>
        <v>0.40923221486843503</v>
      </c>
      <c r="N7" s="10">
        <f t="shared" si="3"/>
        <v>1.4518788962426761</v>
      </c>
      <c r="O7" s="10">
        <f t="shared" si="4"/>
        <v>2.270343325979546</v>
      </c>
    </row>
    <row r="8" spans="1:15">
      <c r="A8" s="12">
        <v>4</v>
      </c>
      <c r="B8" s="10">
        <f>Results!B6</f>
        <v>2</v>
      </c>
      <c r="C8" s="10">
        <f>Results!D6</f>
        <v>1.3228756555322954</v>
      </c>
      <c r="D8" s="4">
        <f>Results!E6</f>
        <v>9</v>
      </c>
      <c r="E8" s="10">
        <f t="shared" si="0"/>
        <v>0.86426288028937093</v>
      </c>
      <c r="F8" s="10">
        <f t="shared" si="1"/>
        <v>1.1357371197106292</v>
      </c>
      <c r="G8" s="10">
        <f t="shared" si="2"/>
        <v>2.8642628802893708</v>
      </c>
      <c r="I8" s="11" t="str">
        <f>VLOOKUP(Read_First!B5,Items!A1:BI50,57,FALSE)</f>
        <v>Contrôlabilité</v>
      </c>
      <c r="J8" s="10">
        <f>AVERAGE(DT!AF4:AF1004)</f>
        <v>1.4444444444444444</v>
      </c>
      <c r="K8" s="10">
        <f>STDEV(DT!AF4:AF1004)</f>
        <v>0.8640183897219883</v>
      </c>
      <c r="L8" s="4">
        <f>L7</f>
        <v>9</v>
      </c>
      <c r="M8" s="10">
        <f t="shared" si="5"/>
        <v>0.56448164194512973</v>
      </c>
      <c r="N8" s="10">
        <f t="shared" si="3"/>
        <v>0.87996280249931469</v>
      </c>
      <c r="O8" s="10">
        <f t="shared" si="4"/>
        <v>2.0089260863895744</v>
      </c>
    </row>
    <row r="9" spans="1:15">
      <c r="A9" s="12">
        <v>5</v>
      </c>
      <c r="B9" s="10">
        <f>Results!B7</f>
        <v>2.1111111111111112</v>
      </c>
      <c r="C9" s="10">
        <f>Results!D7</f>
        <v>0.78173595997057133</v>
      </c>
      <c r="D9" s="4">
        <f>Results!E7</f>
        <v>9</v>
      </c>
      <c r="E9" s="10">
        <f t="shared" si="0"/>
        <v>0.51072477565405494</v>
      </c>
      <c r="F9" s="10">
        <f t="shared" si="1"/>
        <v>1.6003863354570562</v>
      </c>
      <c r="G9" s="10">
        <f t="shared" si="2"/>
        <v>2.6218358867651661</v>
      </c>
      <c r="I9" s="11" t="str">
        <f>VLOOKUP(Read_First!B5,Items!A1:BI50,58,FALSE)</f>
        <v>Stimulation</v>
      </c>
      <c r="J9" s="10">
        <f>AVERAGE(DT!AG4:AG1004)</f>
        <v>1.4722222222222223</v>
      </c>
      <c r="K9" s="10">
        <f>STDEV(DT!AG4:AG1004)</f>
        <v>0.57885183289374198</v>
      </c>
      <c r="L9" s="4">
        <f>L8</f>
        <v>9</v>
      </c>
      <c r="M9" s="10">
        <f t="shared" si="5"/>
        <v>0.37817624828557728</v>
      </c>
      <c r="N9" s="10">
        <f t="shared" si="3"/>
        <v>1.094045973936645</v>
      </c>
      <c r="O9" s="10">
        <f t="shared" si="4"/>
        <v>1.8503984705077996</v>
      </c>
    </row>
    <row r="10" spans="1:15">
      <c r="A10" s="12">
        <v>6</v>
      </c>
      <c r="B10" s="10">
        <f>Results!B8</f>
        <v>0.77777777777777779</v>
      </c>
      <c r="C10" s="10">
        <f>Results!D8</f>
        <v>0.83333333333333337</v>
      </c>
      <c r="D10" s="4">
        <f>Results!E8</f>
        <v>9</v>
      </c>
      <c r="E10" s="10">
        <f t="shared" si="0"/>
        <v>0.54443444015001496</v>
      </c>
      <c r="F10" s="10">
        <f t="shared" si="1"/>
        <v>0.23334333762776283</v>
      </c>
      <c r="G10" s="10">
        <f t="shared" si="2"/>
        <v>1.3222122179277926</v>
      </c>
      <c r="I10" s="9" t="str">
        <f>VLOOKUP(Read_First!B5,Items!A1:BI50,59,FALSE)</f>
        <v>Originalité</v>
      </c>
      <c r="J10" s="10">
        <f>AVERAGE(DT!AH4:AH1004)</f>
        <v>0.88888888888888884</v>
      </c>
      <c r="K10" s="10">
        <f>STDEV(DT!AH4:AH1004)</f>
        <v>0.41666666666666674</v>
      </c>
      <c r="L10" s="4">
        <f>L9</f>
        <v>9</v>
      </c>
      <c r="M10" s="10">
        <f t="shared" si="5"/>
        <v>0.27221722007500754</v>
      </c>
      <c r="N10" s="10">
        <f t="shared" si="3"/>
        <v>0.61667166881388136</v>
      </c>
      <c r="O10" s="10">
        <f t="shared" si="4"/>
        <v>1.1611061089638963</v>
      </c>
    </row>
    <row r="11" spans="1:15">
      <c r="A11" s="12">
        <v>7</v>
      </c>
      <c r="B11" s="10">
        <f>Results!B9</f>
        <v>1.6666666666666667</v>
      </c>
      <c r="C11" s="10">
        <f>Results!D9</f>
        <v>0.70710678118654757</v>
      </c>
      <c r="D11" s="4">
        <f>Results!E9</f>
        <v>9</v>
      </c>
      <c r="E11" s="10">
        <f t="shared" si="0"/>
        <v>0.46196794144989256</v>
      </c>
      <c r="F11" s="10">
        <f t="shared" si="1"/>
        <v>1.2046987252167742</v>
      </c>
      <c r="G11" s="10">
        <f t="shared" si="2"/>
        <v>2.1286346081165592</v>
      </c>
    </row>
    <row r="12" spans="1:15">
      <c r="A12" s="12">
        <v>8</v>
      </c>
      <c r="B12" s="10">
        <f>Results!B10</f>
        <v>1.3333333333333333</v>
      </c>
      <c r="C12" s="10">
        <f>Results!D10</f>
        <v>1.5</v>
      </c>
      <c r="D12" s="4">
        <f>Results!E10</f>
        <v>9</v>
      </c>
      <c r="E12" s="10">
        <f t="shared" si="0"/>
        <v>0.9799819922700268</v>
      </c>
      <c r="F12" s="10">
        <f t="shared" si="1"/>
        <v>0.35335134106330646</v>
      </c>
      <c r="G12" s="10">
        <f t="shared" si="2"/>
        <v>2.3133153256033601</v>
      </c>
    </row>
    <row r="13" spans="1:15">
      <c r="A13" s="12">
        <v>9</v>
      </c>
      <c r="B13" s="10">
        <f>Results!B11</f>
        <v>1.3333333333333333</v>
      </c>
      <c r="C13" s="10">
        <f>Results!D11</f>
        <v>2.2360679774997898</v>
      </c>
      <c r="D13" s="4">
        <f>Results!E11</f>
        <v>9</v>
      </c>
      <c r="E13" s="10">
        <f t="shared" si="0"/>
        <v>1.4608709009609688</v>
      </c>
      <c r="F13" s="10">
        <f t="shared" si="1"/>
        <v>-0.12753756762763557</v>
      </c>
      <c r="G13" s="10">
        <f t="shared" si="2"/>
        <v>2.7942042342943019</v>
      </c>
    </row>
    <row r="14" spans="1:15">
      <c r="A14" s="12">
        <v>10</v>
      </c>
      <c r="B14" s="10">
        <f>Results!B12</f>
        <v>1</v>
      </c>
      <c r="C14" s="10">
        <f>Results!D12</f>
        <v>0.70710678118654757</v>
      </c>
      <c r="D14" s="4">
        <f>Results!E12</f>
        <v>9</v>
      </c>
      <c r="E14" s="10">
        <f t="shared" si="0"/>
        <v>0.46196794144989256</v>
      </c>
      <c r="F14" s="10">
        <f t="shared" si="1"/>
        <v>0.53803205855010749</v>
      </c>
      <c r="G14" s="10">
        <f t="shared" si="2"/>
        <v>1.4619679414498925</v>
      </c>
    </row>
    <row r="15" spans="1:15">
      <c r="A15" s="12">
        <v>11</v>
      </c>
      <c r="B15" s="10">
        <f>Results!B13</f>
        <v>2</v>
      </c>
      <c r="C15" s="10">
        <f>Results!D13</f>
        <v>0.8660254037844386</v>
      </c>
      <c r="D15" s="4">
        <f>Results!E13</f>
        <v>9</v>
      </c>
      <c r="E15" s="10">
        <f t="shared" si="0"/>
        <v>0.56579286703808573</v>
      </c>
      <c r="F15" s="10">
        <f t="shared" si="1"/>
        <v>1.4342071329619142</v>
      </c>
      <c r="G15" s="10">
        <f t="shared" si="2"/>
        <v>2.5657928670380858</v>
      </c>
      <c r="J15" s="69"/>
    </row>
    <row r="16" spans="1:15">
      <c r="A16" s="12">
        <v>12</v>
      </c>
      <c r="B16" s="10">
        <f>Results!B14</f>
        <v>2.1111111111111112</v>
      </c>
      <c r="C16" s="10">
        <f>Results!D14</f>
        <v>0.78173595997057133</v>
      </c>
      <c r="D16" s="4">
        <f>Results!E14</f>
        <v>9</v>
      </c>
      <c r="E16" s="10">
        <f t="shared" si="0"/>
        <v>0.51072477565405494</v>
      </c>
      <c r="F16" s="10">
        <f t="shared" si="1"/>
        <v>1.6003863354570562</v>
      </c>
      <c r="G16" s="10">
        <f t="shared" si="2"/>
        <v>2.6218358867651661</v>
      </c>
    </row>
    <row r="17" spans="1:7">
      <c r="A17" s="12">
        <v>13</v>
      </c>
      <c r="B17" s="10">
        <f>Results!B15</f>
        <v>2.3333333333333335</v>
      </c>
      <c r="C17" s="10">
        <f>Results!D15</f>
        <v>0.70710678118654757</v>
      </c>
      <c r="D17" s="4">
        <f>Results!E15</f>
        <v>9</v>
      </c>
      <c r="E17" s="10">
        <f t="shared" si="0"/>
        <v>0.46196794144989256</v>
      </c>
      <c r="F17" s="10">
        <f t="shared" si="1"/>
        <v>1.871365391883441</v>
      </c>
      <c r="G17" s="10">
        <f t="shared" si="2"/>
        <v>2.7953012747832262</v>
      </c>
    </row>
    <row r="18" spans="1:7">
      <c r="A18" s="12">
        <v>14</v>
      </c>
      <c r="B18" s="10">
        <f>Results!B16</f>
        <v>1.8888888888888888</v>
      </c>
      <c r="C18" s="10">
        <f>Results!D16</f>
        <v>1.0540925533894596</v>
      </c>
      <c r="D18" s="4">
        <f>Results!E16</f>
        <v>9</v>
      </c>
      <c r="E18" s="10">
        <f t="shared" si="0"/>
        <v>0.6886611470050682</v>
      </c>
      <c r="F18" s="10">
        <f t="shared" si="1"/>
        <v>1.2002277418838205</v>
      </c>
      <c r="G18" s="10">
        <f t="shared" si="2"/>
        <v>2.5775500358939571</v>
      </c>
    </row>
    <row r="19" spans="1:7">
      <c r="A19" s="12">
        <v>15</v>
      </c>
      <c r="B19" s="10">
        <f>Results!B17</f>
        <v>0.88888888888888884</v>
      </c>
      <c r="C19" s="10">
        <f>Results!D17</f>
        <v>1.0540925533894598</v>
      </c>
      <c r="D19" s="4">
        <f>Results!E17</f>
        <v>9</v>
      </c>
      <c r="E19" s="10">
        <f t="shared" si="0"/>
        <v>0.68866114700506831</v>
      </c>
      <c r="F19" s="10">
        <f t="shared" si="1"/>
        <v>0.20022774188382053</v>
      </c>
      <c r="G19" s="10">
        <f t="shared" si="2"/>
        <v>1.5775500358939571</v>
      </c>
    </row>
    <row r="20" spans="1:7">
      <c r="A20" s="12">
        <v>16</v>
      </c>
      <c r="B20" s="10">
        <f>Results!B18</f>
        <v>1.6666666666666667</v>
      </c>
      <c r="C20" s="10">
        <f>Results!D18</f>
        <v>0.5</v>
      </c>
      <c r="D20" s="4">
        <f>Results!E18</f>
        <v>9</v>
      </c>
      <c r="E20" s="10">
        <f t="shared" si="0"/>
        <v>0.32666066409000893</v>
      </c>
      <c r="F20" s="10">
        <f t="shared" si="1"/>
        <v>1.3400060025766578</v>
      </c>
      <c r="G20" s="10">
        <f t="shared" si="2"/>
        <v>1.9933273307566757</v>
      </c>
    </row>
    <row r="21" spans="1:7">
      <c r="A21" s="12">
        <v>17</v>
      </c>
      <c r="B21" s="10">
        <f>Results!B19</f>
        <v>0.88888888888888884</v>
      </c>
      <c r="C21" s="10">
        <f>Results!D19</f>
        <v>0.92796072713833699</v>
      </c>
      <c r="D21" s="4">
        <f>Results!E19</f>
        <v>9</v>
      </c>
      <c r="E21" s="10">
        <f t="shared" si="0"/>
        <v>0.60625653475291352</v>
      </c>
      <c r="F21" s="10">
        <f t="shared" si="1"/>
        <v>0.28263235413597532</v>
      </c>
      <c r="G21" s="10">
        <f t="shared" si="2"/>
        <v>1.4951454236418025</v>
      </c>
    </row>
    <row r="22" spans="1:7">
      <c r="A22" s="12">
        <v>18</v>
      </c>
      <c r="B22" s="10">
        <f>Results!B20</f>
        <v>1.3333333333333333</v>
      </c>
      <c r="C22" s="10">
        <f>Results!D20</f>
        <v>0.8660254037844386</v>
      </c>
      <c r="D22" s="4">
        <f>Results!E20</f>
        <v>9</v>
      </c>
      <c r="E22" s="10">
        <f t="shared" si="0"/>
        <v>0.56579286703808573</v>
      </c>
      <c r="F22" s="10">
        <f t="shared" si="1"/>
        <v>0.76754046629524753</v>
      </c>
      <c r="G22" s="10">
        <f t="shared" si="2"/>
        <v>1.8991262003714189</v>
      </c>
    </row>
    <row r="23" spans="1:7">
      <c r="A23" s="12">
        <v>19</v>
      </c>
      <c r="B23" s="10">
        <f>Results!B21</f>
        <v>1.5555555555555556</v>
      </c>
      <c r="C23" s="10">
        <f>Results!D21</f>
        <v>1.2360330811826103</v>
      </c>
      <c r="D23" s="4">
        <f>Results!E21</f>
        <v>9</v>
      </c>
      <c r="E23" s="10">
        <f t="shared" si="0"/>
        <v>0.80752677427266284</v>
      </c>
      <c r="F23" s="10">
        <f t="shared" si="1"/>
        <v>0.74802878128289274</v>
      </c>
      <c r="G23" s="10">
        <f t="shared" si="2"/>
        <v>2.3630823298282184</v>
      </c>
    </row>
    <row r="24" spans="1:7">
      <c r="A24" s="12">
        <v>20</v>
      </c>
      <c r="B24" s="10">
        <f>Results!B22</f>
        <v>1.6666666666666667</v>
      </c>
      <c r="C24" s="10">
        <f>Results!D22</f>
        <v>0.8660254037844386</v>
      </c>
      <c r="D24" s="4">
        <f>Results!E22</f>
        <v>9</v>
      </c>
      <c r="E24" s="10">
        <f t="shared" si="0"/>
        <v>0.56579286703808573</v>
      </c>
      <c r="F24" s="10">
        <f t="shared" si="1"/>
        <v>1.1008737996285811</v>
      </c>
      <c r="G24" s="10">
        <f t="shared" si="2"/>
        <v>2.2324595337047524</v>
      </c>
    </row>
    <row r="25" spans="1:7">
      <c r="A25" s="12">
        <v>21</v>
      </c>
      <c r="B25" s="10">
        <f>Results!B23</f>
        <v>2.2222222222222223</v>
      </c>
      <c r="C25" s="10">
        <f>Results!D23</f>
        <v>0.66666666666666685</v>
      </c>
      <c r="D25" s="4">
        <f>Results!E23</f>
        <v>9</v>
      </c>
      <c r="E25" s="10">
        <f t="shared" ref="E25:E30" si="6">CONFIDENCE(0.05, C25, D25)</f>
        <v>0.43554755212001206</v>
      </c>
      <c r="F25" s="10">
        <f t="shared" ref="F25:F30" si="7">B25-E25</f>
        <v>1.7866746701022103</v>
      </c>
      <c r="G25" s="10">
        <f t="shared" ref="G25:G30" si="8">B25+E25</f>
        <v>2.6577697743422344</v>
      </c>
    </row>
    <row r="26" spans="1:7">
      <c r="A26" s="12">
        <v>22</v>
      </c>
      <c r="B26" s="10">
        <f>Results!B24</f>
        <v>1.8888888888888888</v>
      </c>
      <c r="C26" s="10">
        <f>Results!D24</f>
        <v>0.92796072713833677</v>
      </c>
      <c r="D26" s="4">
        <f>Results!E24</f>
        <v>9</v>
      </c>
      <c r="E26" s="10">
        <f t="shared" si="6"/>
        <v>0.60625653475291341</v>
      </c>
      <c r="F26" s="10">
        <f t="shared" si="7"/>
        <v>1.2826323541359754</v>
      </c>
      <c r="G26" s="10">
        <f t="shared" si="8"/>
        <v>2.4951454236418025</v>
      </c>
    </row>
    <row r="27" spans="1:7">
      <c r="A27" s="12">
        <v>23</v>
      </c>
      <c r="B27" s="10">
        <f>Results!B25</f>
        <v>2.5555555555555554</v>
      </c>
      <c r="C27" s="10">
        <f>Results!D25</f>
        <v>0.52704627669472981</v>
      </c>
      <c r="D27" s="4">
        <f>Results!E25</f>
        <v>9</v>
      </c>
      <c r="E27" s="10">
        <f t="shared" si="6"/>
        <v>0.3443305735025341</v>
      </c>
      <c r="F27" s="10">
        <f t="shared" si="7"/>
        <v>2.2112249820530212</v>
      </c>
      <c r="G27" s="10">
        <f t="shared" si="8"/>
        <v>2.8998861290580895</v>
      </c>
    </row>
    <row r="28" spans="1:7">
      <c r="A28" s="12">
        <v>24</v>
      </c>
      <c r="B28" s="10">
        <f>Results!B26</f>
        <v>2</v>
      </c>
      <c r="C28" s="10">
        <f>Results!D26</f>
        <v>0.70710678118654757</v>
      </c>
      <c r="D28" s="4">
        <f>Results!E26</f>
        <v>9</v>
      </c>
      <c r="E28" s="10">
        <f t="shared" si="6"/>
        <v>0.46196794144989256</v>
      </c>
      <c r="F28" s="10">
        <f t="shared" si="7"/>
        <v>1.5380320585501075</v>
      </c>
      <c r="G28" s="10">
        <f t="shared" si="8"/>
        <v>2.4619679414498927</v>
      </c>
    </row>
    <row r="29" spans="1:7">
      <c r="A29" s="12">
        <v>25</v>
      </c>
      <c r="B29" s="10">
        <f>Results!B27</f>
        <v>1.6666666666666667</v>
      </c>
      <c r="C29" s="10">
        <f>Results!D27</f>
        <v>1.5</v>
      </c>
      <c r="D29" s="4">
        <f>Results!E27</f>
        <v>9</v>
      </c>
      <c r="E29" s="10">
        <f t="shared" si="6"/>
        <v>0.9799819922700268</v>
      </c>
      <c r="F29" s="10">
        <f t="shared" si="7"/>
        <v>0.68668467439663994</v>
      </c>
      <c r="G29" s="10">
        <f t="shared" si="8"/>
        <v>2.6466486589366935</v>
      </c>
    </row>
    <row r="30" spans="1:7">
      <c r="A30" s="12">
        <v>26</v>
      </c>
      <c r="B30" s="10">
        <f>Results!B28</f>
        <v>1.3333333333333333</v>
      </c>
      <c r="C30" s="10">
        <f>Results!D28</f>
        <v>0.70710678118654757</v>
      </c>
      <c r="D30" s="4">
        <f>Results!E28</f>
        <v>9</v>
      </c>
      <c r="E30" s="10">
        <f t="shared" si="6"/>
        <v>0.46196794144989256</v>
      </c>
      <c r="F30" s="10">
        <f t="shared" si="7"/>
        <v>0.87136539188344075</v>
      </c>
      <c r="G30" s="10">
        <f t="shared" si="8"/>
        <v>1.7953012747832258</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workbookViewId="0">
      <selection activeCell="M19" sqref="M19"/>
    </sheetView>
  </sheetViews>
  <sheetFormatPr baseColWidth="10" defaultColWidth="8.83203125" defaultRowHeight="15"/>
  <cols>
    <col min="2" max="2" width="39.83203125" customWidth="1"/>
    <col min="3" max="3" width="8.83203125" customWidth="1"/>
    <col min="10" max="10" width="18" customWidth="1"/>
    <col min="11" max="11" width="5.33203125" customWidth="1"/>
  </cols>
  <sheetData>
    <row r="1" spans="1:11" ht="82.25" customHeight="1">
      <c r="A1" s="160" t="s">
        <v>1283</v>
      </c>
      <c r="B1" s="154"/>
      <c r="C1" s="154"/>
      <c r="D1" s="154"/>
      <c r="E1" s="154"/>
      <c r="F1" s="154"/>
      <c r="G1" s="154"/>
      <c r="H1" s="154"/>
      <c r="I1" s="154"/>
      <c r="J1" s="154"/>
      <c r="K1" s="154"/>
    </row>
    <row r="2" spans="1:11">
      <c r="A2" s="73" t="s">
        <v>1288</v>
      </c>
      <c r="B2" s="74" t="s">
        <v>2</v>
      </c>
      <c r="C2" s="75">
        <v>1</v>
      </c>
      <c r="D2" s="77">
        <v>2</v>
      </c>
      <c r="E2" s="77">
        <v>3</v>
      </c>
      <c r="F2" s="77">
        <v>4</v>
      </c>
      <c r="G2" s="77">
        <v>5</v>
      </c>
      <c r="H2" s="77">
        <v>6</v>
      </c>
      <c r="I2" s="77">
        <v>7</v>
      </c>
      <c r="J2" s="56" t="s">
        <v>110</v>
      </c>
    </row>
    <row r="3" spans="1:11">
      <c r="A3" s="2">
        <v>1</v>
      </c>
      <c r="B3" s="1" t="str">
        <f>_xlfn.CONCAT(Results!F3,"/",Results!G3)</f>
        <v>Agaçant/Agréable</v>
      </c>
      <c r="C3" s="1">
        <f>COUNTIF(DT!A4:A1004,"-3")</f>
        <v>0</v>
      </c>
      <c r="D3" s="1">
        <f>COUNTIF(DT!A4:A1004,"-2")</f>
        <v>0</v>
      </c>
      <c r="E3" s="1">
        <f>COUNTIF(DT!A4:A1004,"-1")</f>
        <v>0</v>
      </c>
      <c r="F3" s="1">
        <f>COUNTIF(DT!A4:A1004,"0")</f>
        <v>0</v>
      </c>
      <c r="G3" s="1">
        <f>COUNTIF(DT!A4:A1004,"1")</f>
        <v>2</v>
      </c>
      <c r="H3" s="1">
        <f>COUNTIF(DT!A4:A1004,"2")</f>
        <v>4</v>
      </c>
      <c r="I3" s="1">
        <f>COUNTIF(DT!A4:A1004,"3")</f>
        <v>3</v>
      </c>
      <c r="J3" s="23" t="str">
        <f>Results!H3</f>
        <v>Attraction</v>
      </c>
    </row>
    <row r="4" spans="1:11">
      <c r="A4" s="2">
        <v>2</v>
      </c>
      <c r="B4" s="1" t="str">
        <f>_xlfn.CONCAT(Results!F4,"/",Results!G4)</f>
        <v>Incompréhensible/Compréhensible</v>
      </c>
      <c r="C4" s="1">
        <f>COUNTIF(DT!B4:B1004,"-3")</f>
        <v>0</v>
      </c>
      <c r="D4" s="1">
        <f>COUNTIF(DT!B4:B1004,"-2")</f>
        <v>0</v>
      </c>
      <c r="E4" s="1">
        <f>COUNTIF(DT!B4:B1004,"-1")</f>
        <v>0</v>
      </c>
      <c r="F4" s="1">
        <f>COUNTIF(DT!B4:B1004,"0")</f>
        <v>0</v>
      </c>
      <c r="G4" s="1">
        <f>COUNTIF(DT!B4:B1004,"1")</f>
        <v>5</v>
      </c>
      <c r="H4" s="1">
        <f>COUNTIF(DT!B4:B1004,"2")</f>
        <v>4</v>
      </c>
      <c r="I4" s="1">
        <f>COUNTIF(DT!B4:B1004,"3")</f>
        <v>0</v>
      </c>
      <c r="J4" s="23" t="str">
        <f>Results!H4</f>
        <v>Compréhensibilité</v>
      </c>
    </row>
    <row r="5" spans="1:11">
      <c r="A5" s="2">
        <v>3</v>
      </c>
      <c r="B5" s="1" t="str">
        <f>_xlfn.CONCAT(Results!G5,"/",Results!F5)</f>
        <v>Sans fantaisie/Moderne</v>
      </c>
      <c r="C5" s="1">
        <f>COUNTIF(DT!C4:C1004,"-3")</f>
        <v>0</v>
      </c>
      <c r="D5" s="1">
        <f>COUNTIF(DT!C4:C1004,"-2")</f>
        <v>1</v>
      </c>
      <c r="E5" s="1">
        <f>COUNTIF(DT!C4:C1004,"-1")</f>
        <v>1</v>
      </c>
      <c r="F5" s="1">
        <f>COUNTIF(DT!C4:C1004,"0")</f>
        <v>2</v>
      </c>
      <c r="G5" s="1">
        <f>COUNTIF(DT!C4:C1004,"1")</f>
        <v>4</v>
      </c>
      <c r="H5" s="1">
        <f>COUNTIF(DT!C4:C1004,"2")</f>
        <v>1</v>
      </c>
      <c r="I5" s="1">
        <f>COUNTIF(DT!C4:C1004,"3")</f>
        <v>0</v>
      </c>
      <c r="J5" s="23" t="str">
        <f>Results!H5</f>
        <v>Originalité</v>
      </c>
    </row>
    <row r="6" spans="1:11">
      <c r="A6" s="2">
        <v>4</v>
      </c>
      <c r="B6" s="1" t="str">
        <f>_xlfn.CONCAT(Results!G6,"/",Results!F6)</f>
        <v>Appropriation compliquée/Appropriation simple</v>
      </c>
      <c r="C6" s="1">
        <f>COUNTIF(DT!D4:D1004,"-3")</f>
        <v>0</v>
      </c>
      <c r="D6" s="1">
        <f>COUNTIF(DT!D4:D1004,"-2")</f>
        <v>0</v>
      </c>
      <c r="E6" s="1">
        <f>COUNTIF(DT!D4:D1004,"-1")</f>
        <v>1</v>
      </c>
      <c r="F6" s="1">
        <f>COUNTIF(DT!D4:D1004,"0")</f>
        <v>0</v>
      </c>
      <c r="G6" s="1">
        <f>COUNTIF(DT!D4:D1004,"1")</f>
        <v>1</v>
      </c>
      <c r="H6" s="1">
        <f>COUNTIF(DT!D4:D1004,"2")</f>
        <v>3</v>
      </c>
      <c r="I6" s="1">
        <f>COUNTIF(DT!D4:D1004,"3")</f>
        <v>4</v>
      </c>
      <c r="J6" s="23" t="str">
        <f>Results!H6</f>
        <v>Compréhensibilité</v>
      </c>
    </row>
    <row r="7" spans="1:11">
      <c r="A7" s="2">
        <v>5</v>
      </c>
      <c r="B7" s="1" t="str">
        <f>_xlfn.CONCAT(Results!G7,"/",Results!F7)</f>
        <v>Peu de valeur ajoutée/Apporte de la valeur</v>
      </c>
      <c r="C7" s="1">
        <f>COUNTIF(DT!E4:E1004,"-3")</f>
        <v>0</v>
      </c>
      <c r="D7" s="1">
        <f>COUNTIF(DT!E4:E1004,"-2")</f>
        <v>0</v>
      </c>
      <c r="E7" s="1">
        <f>COUNTIF(DT!E4:E1004,"-1")</f>
        <v>0</v>
      </c>
      <c r="F7" s="1">
        <f>COUNTIF(DT!E4:E1004,"0")</f>
        <v>0</v>
      </c>
      <c r="G7" s="1">
        <f>COUNTIF(DT!E4:E1004,"1")</f>
        <v>2</v>
      </c>
      <c r="H7" s="1">
        <f>COUNTIF(DT!E4:E1004,"2")</f>
        <v>4</v>
      </c>
      <c r="I7" s="1">
        <f>COUNTIF(DT!E4:E1004,"3")</f>
        <v>3</v>
      </c>
      <c r="J7" s="24" t="str">
        <f>Results!H7</f>
        <v>Stimulation</v>
      </c>
    </row>
    <row r="8" spans="1:11">
      <c r="A8" s="2">
        <v>6</v>
      </c>
      <c r="B8" s="1" t="str">
        <f>_xlfn.CONCAT(Results!F8,"/",Results!G8)</f>
        <v>Ennuyeux/Captivant</v>
      </c>
      <c r="C8" s="1">
        <f>COUNTIF(DT!F4:F1004,"-3")</f>
        <v>0</v>
      </c>
      <c r="D8" s="1">
        <f>COUNTIF(DT!F4:F1004,"-2")</f>
        <v>0</v>
      </c>
      <c r="E8" s="1">
        <f>COUNTIF(DT!F4:F1004,"-1")</f>
        <v>0</v>
      </c>
      <c r="F8" s="1">
        <f>COUNTIF(DT!F4:F1004,"0")</f>
        <v>4</v>
      </c>
      <c r="G8" s="1">
        <f>COUNTIF(DT!F4:F1004,"1")</f>
        <v>3</v>
      </c>
      <c r="H8" s="1">
        <f>COUNTIF(DT!F4:F1004,"2")</f>
        <v>2</v>
      </c>
      <c r="I8" s="1">
        <f>COUNTIF(DT!F4:F1004,"3")</f>
        <v>0</v>
      </c>
      <c r="J8" s="24" t="str">
        <f>Results!H8</f>
        <v>Stimulation</v>
      </c>
    </row>
    <row r="9" spans="1:11">
      <c r="A9" s="2">
        <v>7</v>
      </c>
      <c r="B9" s="1" t="str">
        <f>_xlfn.CONCAT(Results!F9,"/",Results!G9)</f>
        <v>Inintéressant/Intéressant</v>
      </c>
      <c r="C9" s="1">
        <f>COUNTIF(DT!G4:G1004,"-3")</f>
        <v>0</v>
      </c>
      <c r="D9" s="1">
        <f>COUNTIF(DT!G4:G1004,"-2")</f>
        <v>0</v>
      </c>
      <c r="E9" s="1">
        <f>COUNTIF(DT!G4:G1004,"-1")</f>
        <v>0</v>
      </c>
      <c r="F9" s="1">
        <f>COUNTIF(DT!G4:G1004,"0")</f>
        <v>0</v>
      </c>
      <c r="G9" s="1">
        <f>COUNTIF(DT!G4:G1004,"1")</f>
        <v>4</v>
      </c>
      <c r="H9" s="1">
        <f>COUNTIF(DT!G4:G1004,"2")</f>
        <v>4</v>
      </c>
      <c r="I9" s="1">
        <f>COUNTIF(DT!G4:G1004,"3")</f>
        <v>1</v>
      </c>
      <c r="J9" s="24" t="str">
        <f>Results!H9</f>
        <v>Stimulation</v>
      </c>
    </row>
    <row r="10" spans="1:11">
      <c r="A10" s="2">
        <v>8</v>
      </c>
      <c r="B10" s="1" t="str">
        <f>_xlfn.CONCAT(Results!F10,"/",Results!G10)</f>
        <v>Imprévisible/Prévisible</v>
      </c>
      <c r="C10" s="1">
        <f>COUNTIF(DT!H4:H1004,"-3")</f>
        <v>0</v>
      </c>
      <c r="D10" s="1">
        <f>COUNTIF(DT!H4:H1004,"-2")</f>
        <v>0</v>
      </c>
      <c r="E10" s="1">
        <f>COUNTIF(DT!H4:H1004,"-1")</f>
        <v>1</v>
      </c>
      <c r="F10" s="1">
        <f>COUNTIF(DT!H4:H1004,"0")</f>
        <v>2</v>
      </c>
      <c r="G10" s="1">
        <f>COUNTIF(DT!H4:H1004,"1")</f>
        <v>2</v>
      </c>
      <c r="H10" s="1">
        <f>COUNTIF(DT!H4:H1004,"2")</f>
        <v>1</v>
      </c>
      <c r="I10" s="1">
        <f>COUNTIF(DT!H4:H1004,"3")</f>
        <v>3</v>
      </c>
      <c r="J10" s="23" t="str">
        <f>Results!H10</f>
        <v>Contrôlabilité</v>
      </c>
    </row>
    <row r="11" spans="1:11">
      <c r="A11" s="2">
        <v>9</v>
      </c>
      <c r="B11" s="1" t="str">
        <f>_xlfn.CONCAT(Results!G11,"/",Results!F11)</f>
        <v>Lent/Rapide</v>
      </c>
      <c r="C11" s="1">
        <f>COUNTIF(DT!I4:I1004,"-3")</f>
        <v>1</v>
      </c>
      <c r="D11" s="1">
        <f>COUNTIF(DT!I4:I1004,"-2")</f>
        <v>1</v>
      </c>
      <c r="E11" s="1">
        <f>COUNTIF(DT!I4:I1004,"-1")</f>
        <v>0</v>
      </c>
      <c r="F11" s="1">
        <f>COUNTIF(DT!I4:I1004,"0")</f>
        <v>0</v>
      </c>
      <c r="G11" s="1">
        <f>COUNTIF(DT!I4:I1004,"1")</f>
        <v>0</v>
      </c>
      <c r="H11" s="1">
        <f>COUNTIF(DT!I4:I1004,"2")</f>
        <v>4</v>
      </c>
      <c r="I11" s="1">
        <f>COUNTIF(DT!I4:I1004,"3")</f>
        <v>3</v>
      </c>
      <c r="J11" s="23" t="str">
        <f>Results!H11</f>
        <v>Efficacité</v>
      </c>
    </row>
    <row r="12" spans="1:11">
      <c r="A12" s="2">
        <v>10</v>
      </c>
      <c r="B12" s="1" t="str">
        <f>_xlfn.CONCAT(Results!G12,"/",Results!F12)</f>
        <v>Conventionnel/Original</v>
      </c>
      <c r="C12" s="1">
        <f>COUNTIF(DT!J4:J1004,"-3")</f>
        <v>0</v>
      </c>
      <c r="D12" s="1">
        <f>COUNTIF(DT!J4:J1004,"-2")</f>
        <v>0</v>
      </c>
      <c r="E12" s="1">
        <f>COUNTIF(DT!J4:J1004,"-1")</f>
        <v>0</v>
      </c>
      <c r="F12" s="1">
        <f>COUNTIF(DT!J4:J1004,"0")</f>
        <v>2</v>
      </c>
      <c r="G12" s="1">
        <f>COUNTIF(DT!J4:J1004,"1")</f>
        <v>5</v>
      </c>
      <c r="H12" s="1">
        <f>COUNTIF(DT!J4:J1004,"2")</f>
        <v>2</v>
      </c>
      <c r="I12" s="1">
        <f>COUNTIF(DT!J4:J1004,"3")</f>
        <v>0</v>
      </c>
      <c r="J12" s="23" t="str">
        <f>Results!H12</f>
        <v>Originalité</v>
      </c>
    </row>
    <row r="13" spans="1:11">
      <c r="A13" s="2">
        <v>11</v>
      </c>
      <c r="B13" s="1" t="str">
        <f>_xlfn.CONCAT(Results!F13,"/",Results!G13)</f>
        <v>Rigide/Facilitant</v>
      </c>
      <c r="C13" s="1">
        <f>COUNTIF(DT!K4:K1004,"-3")</f>
        <v>0</v>
      </c>
      <c r="D13" s="1">
        <f>COUNTIF(DT!K4:K1004,"-2")</f>
        <v>0</v>
      </c>
      <c r="E13" s="1">
        <f>COUNTIF(DT!K4:K1004,"-1")</f>
        <v>0</v>
      </c>
      <c r="F13" s="1">
        <f>COUNTIF(DT!K4:K1004,"0")</f>
        <v>0</v>
      </c>
      <c r="G13" s="1">
        <f>COUNTIF(DT!K4:K1004,"1")</f>
        <v>3</v>
      </c>
      <c r="H13" s="1">
        <f>COUNTIF(DT!K4:K1004,"2")</f>
        <v>3</v>
      </c>
      <c r="I13" s="1">
        <f>COUNTIF(DT!K4:K1004,"3")</f>
        <v>3</v>
      </c>
      <c r="J13" s="23" t="str">
        <f>Results!H13</f>
        <v>Contrôlabilité</v>
      </c>
    </row>
    <row r="14" spans="1:11">
      <c r="A14" s="2">
        <v>12</v>
      </c>
      <c r="B14" s="1" t="str">
        <f>_xlfn.CONCAT(Results!G14,"/",Results!F14)</f>
        <v>Médiocre/Bien</v>
      </c>
      <c r="C14" s="1">
        <f>COUNTIF(DT!L4:L1004,"-3")</f>
        <v>0</v>
      </c>
      <c r="D14" s="1">
        <f>COUNTIF(DT!L4:L1004,"-2")</f>
        <v>0</v>
      </c>
      <c r="E14" s="1">
        <f>COUNTIF(DT!L4:L1004,"-1")</f>
        <v>0</v>
      </c>
      <c r="F14" s="1">
        <f>COUNTIF(DT!L4:L1004,"0")</f>
        <v>0</v>
      </c>
      <c r="G14" s="1">
        <f>COUNTIF(DT!L4:L1004,"1")</f>
        <v>2</v>
      </c>
      <c r="H14" s="1">
        <f>COUNTIF(DT!L4:L1004,"2")</f>
        <v>4</v>
      </c>
      <c r="I14" s="1">
        <f>COUNTIF(DT!L4:L1004,"3")</f>
        <v>3</v>
      </c>
      <c r="J14" s="23" t="str">
        <f>Results!H14</f>
        <v>Attraction</v>
      </c>
    </row>
    <row r="15" spans="1:11">
      <c r="A15" s="2">
        <v>13</v>
      </c>
      <c r="B15" s="1" t="str">
        <f>_xlfn.CONCAT(Results!F15,"/",Results!G15)</f>
        <v>Compliqué/Simple</v>
      </c>
      <c r="C15" s="1">
        <f>COUNTIF(DT!M4:M1004,"-3")</f>
        <v>0</v>
      </c>
      <c r="D15" s="1">
        <f>COUNTIF(DT!M4:M1004,"-2")</f>
        <v>0</v>
      </c>
      <c r="E15" s="1">
        <f>COUNTIF(DT!M4:M1004,"-1")</f>
        <v>0</v>
      </c>
      <c r="F15" s="1">
        <f>COUNTIF(DT!M4:M1004,"0")</f>
        <v>0</v>
      </c>
      <c r="G15" s="1">
        <f>COUNTIF(DT!M4:M1004,"1")</f>
        <v>1</v>
      </c>
      <c r="H15" s="1">
        <f>COUNTIF(DT!M4:M1004,"2")</f>
        <v>4</v>
      </c>
      <c r="I15" s="1">
        <f>COUNTIF(DT!M4:M1004,"3")</f>
        <v>4</v>
      </c>
      <c r="J15" s="23" t="str">
        <f>Results!H15</f>
        <v>Compréhensibilité</v>
      </c>
    </row>
    <row r="16" spans="1:11">
      <c r="A16" s="2">
        <v>14</v>
      </c>
      <c r="B16" s="1" t="str">
        <f>_xlfn.CONCAT(Results!F16,"/",Results!G16)</f>
        <v>Repoussant/Attractif</v>
      </c>
      <c r="C16" s="1">
        <f>COUNTIF(DT!N4:N1004,"-3")</f>
        <v>0</v>
      </c>
      <c r="D16" s="1">
        <f>COUNTIF(DT!N4:N1004,"-2")</f>
        <v>0</v>
      </c>
      <c r="E16" s="1">
        <f>COUNTIF(DT!N4:N1004,"-1")</f>
        <v>0</v>
      </c>
      <c r="F16" s="1">
        <f>COUNTIF(DT!N4:N1004,"0")</f>
        <v>1</v>
      </c>
      <c r="G16" s="1">
        <f>COUNTIF(DT!N4:N1004,"1")</f>
        <v>2</v>
      </c>
      <c r="H16" s="1">
        <f>COUNTIF(DT!N4:N1004,"2")</f>
        <v>3</v>
      </c>
      <c r="I16" s="1">
        <f>COUNTIF(DT!N4:N1004,"3")</f>
        <v>3</v>
      </c>
      <c r="J16" s="23" t="str">
        <f>Results!H16</f>
        <v>Attraction</v>
      </c>
    </row>
    <row r="17" spans="1:10">
      <c r="A17" s="2">
        <v>15</v>
      </c>
      <c r="B17" s="1" t="str">
        <f>_xlfn.CONCAT(Results!F17,"/",Results!G17)</f>
        <v>Habituel/Avant-gardiste</v>
      </c>
      <c r="C17" s="1">
        <f>COUNTIF(DT!O4:O1004,"-3")</f>
        <v>0</v>
      </c>
      <c r="D17" s="1">
        <f>COUNTIF(DT!O4:O1004,"-2")</f>
        <v>0</v>
      </c>
      <c r="E17" s="1">
        <f>COUNTIF(DT!O4:O1004,"-1")</f>
        <v>0</v>
      </c>
      <c r="F17" s="1">
        <f>COUNTIF(DT!O4:O1004,"0")</f>
        <v>4</v>
      </c>
      <c r="G17" s="1">
        <f>COUNTIF(DT!O4:O1004,"1")</f>
        <v>3</v>
      </c>
      <c r="H17" s="1">
        <f>COUNTIF(DT!O4:O1004,"2")</f>
        <v>1</v>
      </c>
      <c r="I17" s="1">
        <f>COUNTIF(DT!O4:O1004,"3")</f>
        <v>1</v>
      </c>
      <c r="J17" s="23" t="str">
        <f>Results!H17</f>
        <v>Originalité</v>
      </c>
    </row>
    <row r="18" spans="1:10">
      <c r="A18" s="2">
        <v>16</v>
      </c>
      <c r="B18" s="1" t="str">
        <f>_xlfn.CONCAT(Results!F18,"/",Results!G18)</f>
        <v>Désagréable/Agréable</v>
      </c>
      <c r="C18" s="1">
        <f>COUNTIF(DT!P4:P1004,"-3")</f>
        <v>0</v>
      </c>
      <c r="D18" s="1">
        <f>COUNTIF(DT!P4:P1004,"-2")</f>
        <v>0</v>
      </c>
      <c r="E18" s="1">
        <f>COUNTIF(DT!P4:P1004,"-1")</f>
        <v>0</v>
      </c>
      <c r="F18" s="1">
        <f>COUNTIF(DT!P4:P1004,"0")</f>
        <v>0</v>
      </c>
      <c r="G18" s="1">
        <f>COUNTIF(DT!P4:P1004,"1")</f>
        <v>3</v>
      </c>
      <c r="H18" s="1">
        <f>COUNTIF(DT!P4:P1004,"2")</f>
        <v>6</v>
      </c>
      <c r="I18" s="1">
        <f>COUNTIF(DT!P4:P1004,"3")</f>
        <v>0</v>
      </c>
      <c r="J18" s="23" t="str">
        <f>Results!H18</f>
        <v>Attraction</v>
      </c>
    </row>
    <row r="19" spans="1:10">
      <c r="A19" s="2">
        <v>17</v>
      </c>
      <c r="B19" s="1" t="str">
        <f>_xlfn.CONCAT(Results!G19,"/",Results!F19)</f>
        <v>Insécurisant/Sécurisant</v>
      </c>
      <c r="C19" s="1">
        <f>COUNTIF(DT!Q4:Q1004,"-3")</f>
        <v>0</v>
      </c>
      <c r="D19" s="1">
        <f>COUNTIF(DT!Q4:Q1004,"-2")</f>
        <v>0</v>
      </c>
      <c r="E19" s="1">
        <f>COUNTIF(DT!Q4:Q1004,"-1")</f>
        <v>0</v>
      </c>
      <c r="F19" s="1">
        <f>COUNTIF(DT!Q4:Q1004,"0")</f>
        <v>4</v>
      </c>
      <c r="G19" s="1">
        <f>COUNTIF(DT!Q4:Q1004,"1")</f>
        <v>2</v>
      </c>
      <c r="H19" s="1">
        <f>COUNTIF(DT!Q4:Q1004,"2")</f>
        <v>3</v>
      </c>
      <c r="I19" s="1">
        <f>COUNTIF(DT!Q4:Q1004,"3")</f>
        <v>0</v>
      </c>
      <c r="J19" s="23" t="str">
        <f>Results!H19</f>
        <v>Contrôlabilité</v>
      </c>
    </row>
    <row r="20" spans="1:10">
      <c r="A20" s="2">
        <v>18</v>
      </c>
      <c r="B20" s="1" t="str">
        <f>_xlfn.CONCAT(Results!G20,"/",Results!F20)</f>
        <v>Soporifique/Stimulant</v>
      </c>
      <c r="C20" s="1">
        <f>COUNTIF(DT!R4:R1004,"-3")</f>
        <v>0</v>
      </c>
      <c r="D20" s="1">
        <f>COUNTIF(DT!R4:R1004,"-2")</f>
        <v>0</v>
      </c>
      <c r="E20" s="1">
        <f>COUNTIF(DT!R4:R1004,"-1")</f>
        <v>0</v>
      </c>
      <c r="F20" s="1">
        <f>COUNTIF(DT!R4:R1004,"0")</f>
        <v>2</v>
      </c>
      <c r="G20" s="1">
        <f>COUNTIF(DT!R4:R1004,"1")</f>
        <v>2</v>
      </c>
      <c r="H20" s="1">
        <f>COUNTIF(DT!R4:R1004,"2")</f>
        <v>5</v>
      </c>
      <c r="I20" s="1">
        <f>COUNTIF(DT!R4:R1004,"3")</f>
        <v>0</v>
      </c>
      <c r="J20" s="24" t="str">
        <f>Results!H20</f>
        <v>Stimulation</v>
      </c>
    </row>
    <row r="21" spans="1:10">
      <c r="A21" s="2">
        <v>19</v>
      </c>
      <c r="B21" s="1" t="str">
        <f>_xlfn.CONCAT(Results!G21,"/",Results!F21)</f>
        <v>Ne répond pas aux attentes/Répond aux attentes</v>
      </c>
      <c r="C21" s="1">
        <f>COUNTIF(DT!S4:S1004,"-3")</f>
        <v>0</v>
      </c>
      <c r="D21" s="1">
        <f>COUNTIF(DT!S4:S1004,"-2")</f>
        <v>0</v>
      </c>
      <c r="E21" s="1">
        <f>COUNTIF(DT!S4:S1004,"-1")</f>
        <v>1</v>
      </c>
      <c r="F21" s="1">
        <f>COUNTIF(DT!S4:S1004,"0")</f>
        <v>0</v>
      </c>
      <c r="G21" s="1">
        <f>COUNTIF(DT!S4:S1004,"1")</f>
        <v>3</v>
      </c>
      <c r="H21" s="1">
        <f>COUNTIF(DT!S4:S1004,"2")</f>
        <v>3</v>
      </c>
      <c r="I21" s="1">
        <f>COUNTIF(DT!S4:S1004,"3")</f>
        <v>2</v>
      </c>
      <c r="J21" s="23" t="str">
        <f>Results!H21</f>
        <v>Contrôlabilité</v>
      </c>
    </row>
    <row r="22" spans="1:10">
      <c r="A22" s="2">
        <v>20</v>
      </c>
      <c r="B22" s="1" t="str">
        <f>_xlfn.CONCAT(Results!F22,"/",Results!G22)</f>
        <v>Inefficace/Efficace</v>
      </c>
      <c r="C22" s="1">
        <f>COUNTIF(DT!T4:T1004,"-3")</f>
        <v>0</v>
      </c>
      <c r="D22" s="1">
        <f>COUNTIF(DT!T4:T1004,"-2")</f>
        <v>0</v>
      </c>
      <c r="E22" s="1">
        <f>COUNTIF(DT!T4:T1004,"-1")</f>
        <v>0</v>
      </c>
      <c r="F22" s="1">
        <f>COUNTIF(DT!T4:T1004,"0")</f>
        <v>0</v>
      </c>
      <c r="G22" s="1">
        <f>COUNTIF(DT!T4:T1004,"1")</f>
        <v>5</v>
      </c>
      <c r="H22" s="1">
        <f>COUNTIF(DT!T4:T1004,"2")</f>
        <v>2</v>
      </c>
      <c r="I22" s="1">
        <f>COUNTIF(DT!T4:T1004,"3")</f>
        <v>2</v>
      </c>
      <c r="J22" s="23" t="str">
        <f>Results!H22</f>
        <v>Efficacité</v>
      </c>
    </row>
    <row r="23" spans="1:10">
      <c r="A23" s="2">
        <v>21</v>
      </c>
      <c r="B23" s="1" t="str">
        <f>_xlfn.CONCAT(Results!G23,"/",Results!F23)</f>
        <v>Déroutant/Clair</v>
      </c>
      <c r="C23" s="1">
        <f>COUNTIF(DT!U4:U1004,"-3")</f>
        <v>0</v>
      </c>
      <c r="D23" s="1">
        <f>COUNTIF(DT!U4:U1004,"-2")</f>
        <v>0</v>
      </c>
      <c r="E23" s="1">
        <f>COUNTIF(DT!U4:U1004,"-1")</f>
        <v>0</v>
      </c>
      <c r="F23" s="1">
        <f>COUNTIF(DT!U4:U1004,"0")</f>
        <v>0</v>
      </c>
      <c r="G23" s="1">
        <f>COUNTIF(DT!U4:U1004,"1")</f>
        <v>1</v>
      </c>
      <c r="H23" s="1">
        <f>COUNTIF(DT!U4:U1004,"2")</f>
        <v>5</v>
      </c>
      <c r="I23" s="1">
        <f>COUNTIF(DT!U4:U1004,"3")</f>
        <v>3</v>
      </c>
      <c r="J23" s="23" t="str">
        <f>Results!H23</f>
        <v>Compréhensibilité</v>
      </c>
    </row>
    <row r="24" spans="1:10">
      <c r="A24" s="2">
        <v>22</v>
      </c>
      <c r="B24" s="1" t="str">
        <f>_xlfn.CONCAT(Results!F24,"/",Results!G24)</f>
        <v xml:space="preserve">Non pragmatique/Pragmatique </v>
      </c>
      <c r="C24" s="1">
        <f>COUNTIF(DT!V4:V1004,"-3")</f>
        <v>0</v>
      </c>
      <c r="D24" s="1">
        <f>COUNTIF(DT!V4:V1004,"-2")</f>
        <v>0</v>
      </c>
      <c r="E24" s="1">
        <f>COUNTIF(DT!V4:V1004,"-1")</f>
        <v>0</v>
      </c>
      <c r="F24" s="1">
        <f>COUNTIF(DT!V4:V1004,"0")</f>
        <v>0</v>
      </c>
      <c r="G24" s="1">
        <f>COUNTIF(DT!V4:V1004,"1")</f>
        <v>4</v>
      </c>
      <c r="H24" s="1">
        <f>COUNTIF(DT!V4:V1004,"2")</f>
        <v>2</v>
      </c>
      <c r="I24" s="1">
        <f>COUNTIF(DT!V4:V1004,"3")</f>
        <v>3</v>
      </c>
      <c r="J24" s="23" t="str">
        <f>Results!H24</f>
        <v>Efficacité</v>
      </c>
    </row>
    <row r="25" spans="1:10">
      <c r="A25" s="2">
        <v>23</v>
      </c>
      <c r="B25" s="1" t="str">
        <f>_xlfn.CONCAT(Results!G25,"/",Results!F25)</f>
        <v>Surchargé/Sobre</v>
      </c>
      <c r="C25" s="1">
        <f>COUNTIF(DT!W4:W1004,"-3")</f>
        <v>0</v>
      </c>
      <c r="D25" s="1">
        <f>COUNTIF(DT!W4:W1004,"-2")</f>
        <v>0</v>
      </c>
      <c r="E25" s="1">
        <f>COUNTIF(DT!W4:W1004,"-1")</f>
        <v>0</v>
      </c>
      <c r="F25" s="1">
        <f>COUNTIF(DT!W4:W1004,"0")</f>
        <v>0</v>
      </c>
      <c r="G25" s="1">
        <f>COUNTIF(DT!W4:W1004,"1")</f>
        <v>0</v>
      </c>
      <c r="H25" s="1">
        <f>COUNTIF(DT!W4:W1004,"2")</f>
        <v>4</v>
      </c>
      <c r="I25" s="1">
        <f>COUNTIF(DT!W4:W1004,"3")</f>
        <v>5</v>
      </c>
      <c r="J25" s="23" t="str">
        <f>Results!H25</f>
        <v>Efficacité</v>
      </c>
    </row>
    <row r="26" spans="1:10">
      <c r="A26" s="2">
        <v>24</v>
      </c>
      <c r="B26" s="1" t="str">
        <f>_xlfn.CONCAT(Results!G26,"/",Results!F26)</f>
        <v>Rébarbatif/Attrayant</v>
      </c>
      <c r="C26" s="1">
        <f>COUNTIF(DT!X4:X1004,"-3")</f>
        <v>0</v>
      </c>
      <c r="D26" s="1">
        <f>COUNTIF(DT!X4:X1004,"-2")</f>
        <v>0</v>
      </c>
      <c r="E26" s="1">
        <f>COUNTIF(DT!X4:X1004,"-1")</f>
        <v>0</v>
      </c>
      <c r="F26" s="1">
        <f>COUNTIF(DT!X4:X1004,"0")</f>
        <v>0</v>
      </c>
      <c r="G26" s="1">
        <f>COUNTIF(DT!X4:X1004,"1")</f>
        <v>2</v>
      </c>
      <c r="H26" s="1">
        <f>COUNTIF(DT!X4:X1004,"2")</f>
        <v>5</v>
      </c>
      <c r="I26" s="1">
        <f>COUNTIF(DT!X4:X1004,"3")</f>
        <v>2</v>
      </c>
      <c r="J26" s="23" t="str">
        <f>Results!H26</f>
        <v>Attraction</v>
      </c>
    </row>
    <row r="27" spans="1:10">
      <c r="A27" s="2">
        <v>25</v>
      </c>
      <c r="B27" s="1" t="str">
        <f>_xlfn.CONCAT(Results!G27,"/",Results!F27)</f>
        <v>Inamical/Sympathique</v>
      </c>
      <c r="C27" s="1">
        <f>COUNTIF(DT!Y4:Y1004,"-3")</f>
        <v>0</v>
      </c>
      <c r="D27" s="1">
        <f>COUNTIF(DT!Y4:Y1004,"-2")</f>
        <v>0</v>
      </c>
      <c r="E27" s="1">
        <f>COUNTIF(DT!Y4:Y1004,"-1")</f>
        <v>1</v>
      </c>
      <c r="F27" s="1">
        <f>COUNTIF(DT!Y4:Y1004,"0")</f>
        <v>1</v>
      </c>
      <c r="G27" s="1">
        <f>COUNTIF(DT!Y4:Y1004,"1")</f>
        <v>2</v>
      </c>
      <c r="H27" s="1">
        <f>COUNTIF(DT!Y4:Y1004,"2")</f>
        <v>1</v>
      </c>
      <c r="I27" s="1">
        <f>COUNTIF(DT!Y4:Y1004,"3")</f>
        <v>4</v>
      </c>
      <c r="J27" s="23" t="str">
        <f>Results!H27</f>
        <v>Attraction</v>
      </c>
    </row>
    <row r="28" spans="1:10">
      <c r="A28" s="2">
        <v>26</v>
      </c>
      <c r="B28" s="1" t="str">
        <f>_xlfn.CONCAT(Results!F28,"/",Results!G28)</f>
        <v>Conservateur/Innovant</v>
      </c>
      <c r="C28" s="1">
        <f>COUNTIF(DT!Z4:Z1004,"-3")</f>
        <v>0</v>
      </c>
      <c r="D28" s="1">
        <f>COUNTIF(DT!Z4:Z1004,"-2")</f>
        <v>0</v>
      </c>
      <c r="E28" s="1">
        <f>COUNTIF(DT!Z4:Z1004,"-1")</f>
        <v>0</v>
      </c>
      <c r="F28" s="1">
        <f>COUNTIF(DT!Z4:Z1004,"0")</f>
        <v>1</v>
      </c>
      <c r="G28" s="1">
        <f>COUNTIF(DT!Z4:Z1004,"1")</f>
        <v>4</v>
      </c>
      <c r="H28" s="1">
        <f>COUNTIF(DT!Z4:Z1004,"2")</f>
        <v>4</v>
      </c>
      <c r="I28" s="1">
        <f>COUNTIF(DT!Z4:Z1004,"3")</f>
        <v>0</v>
      </c>
      <c r="J28" s="23" t="str">
        <f>Results!H28</f>
        <v>Originalité</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workbookViewId="0">
      <selection activeCell="D24" sqref="D24"/>
    </sheetView>
  </sheetViews>
  <sheetFormatPr baseColWidth="10" defaultColWidth="9.1640625" defaultRowHeight="15"/>
  <cols>
    <col min="1" max="1" width="8.83203125" customWidth="1"/>
    <col min="2" max="2" width="11" customWidth="1"/>
    <col min="3" max="3" width="5.1640625" customWidth="1"/>
    <col min="4" max="4" width="9.1640625" customWidth="1"/>
    <col min="5" max="5" width="10.83203125" customWidth="1"/>
    <col min="6" max="6" width="4.83203125" customWidth="1"/>
    <col min="7" max="7" width="9.1640625" customWidth="1"/>
    <col min="8" max="8" width="11.1640625" customWidth="1"/>
    <col min="9" max="9" width="4.83203125" customWidth="1"/>
    <col min="10" max="10" width="8.5" customWidth="1"/>
    <col min="11" max="11" width="10.6640625" customWidth="1"/>
    <col min="12" max="12" width="5.5" customWidth="1"/>
    <col min="13" max="13" width="9" customWidth="1"/>
    <col min="14" max="14" width="10.6640625" customWidth="1"/>
    <col min="15" max="15" width="5.1640625" customWidth="1"/>
    <col min="16" max="16" width="9.6640625" customWidth="1"/>
    <col min="17" max="17" width="10.6640625" customWidth="1"/>
  </cols>
  <sheetData>
    <row r="1" spans="1:18" ht="55.25" customHeight="1">
      <c r="A1" s="141" t="s">
        <v>1278</v>
      </c>
      <c r="B1" s="166"/>
      <c r="C1" s="166"/>
      <c r="D1" s="166"/>
      <c r="E1" s="166"/>
      <c r="F1" s="166"/>
      <c r="G1" s="166"/>
      <c r="H1" s="166"/>
      <c r="I1" s="166"/>
      <c r="J1" s="166"/>
      <c r="K1" s="166"/>
      <c r="L1" s="166"/>
      <c r="M1" s="166"/>
      <c r="N1" s="166"/>
      <c r="O1" s="166"/>
      <c r="P1" s="166"/>
      <c r="Q1" s="166"/>
      <c r="R1" s="166"/>
    </row>
    <row r="2" spans="1:18" ht="18.5" customHeight="1">
      <c r="A2" s="42"/>
      <c r="B2" s="43"/>
      <c r="C2" s="43"/>
      <c r="D2" s="43"/>
      <c r="E2" s="43"/>
      <c r="F2" s="43"/>
      <c r="G2" s="43"/>
      <c r="H2" s="43"/>
      <c r="I2" s="43"/>
      <c r="J2" s="43"/>
      <c r="K2" s="43"/>
      <c r="L2" s="43"/>
      <c r="M2" s="43"/>
      <c r="N2" s="43"/>
      <c r="O2" s="43"/>
      <c r="P2" s="43"/>
      <c r="Q2" s="43"/>
      <c r="R2" s="43"/>
    </row>
    <row r="3" spans="1:18" ht="173" customHeight="1">
      <c r="A3" s="167" t="s">
        <v>1463</v>
      </c>
      <c r="B3" s="160"/>
      <c r="C3" s="160"/>
      <c r="D3" s="160"/>
      <c r="E3" s="160"/>
      <c r="F3" s="160"/>
      <c r="G3" s="160"/>
      <c r="H3" s="160"/>
      <c r="I3" s="160"/>
      <c r="J3" s="160"/>
      <c r="K3" s="160"/>
      <c r="L3" s="160"/>
      <c r="M3" s="160"/>
      <c r="N3" s="160"/>
      <c r="O3" s="160"/>
      <c r="P3" s="160"/>
      <c r="Q3" s="160"/>
      <c r="R3" s="43"/>
    </row>
    <row r="5" spans="1:18">
      <c r="A5" s="145" t="str">
        <f>VLOOKUP(Read_First!B5,Items!A1:BI50,54,FALSE)</f>
        <v>Attraction</v>
      </c>
      <c r="B5" s="145"/>
      <c r="D5" s="149" t="str">
        <f>VLOOKUP(Read_First!B5,Items!A1:BI50,55,FALSE)</f>
        <v>Compréhensibilité</v>
      </c>
      <c r="E5" s="149"/>
      <c r="G5" s="149" t="str">
        <f>VLOOKUP(Read_First!B5,Items!A1:BI50,56,FALSE)</f>
        <v>Efficacité</v>
      </c>
      <c r="H5" s="149"/>
      <c r="J5" s="149" t="str">
        <f>VLOOKUP(Read_First!B5,Items!A1:BI50,57,FALSE)</f>
        <v>Contrôlabilité</v>
      </c>
      <c r="K5" s="149"/>
      <c r="M5" s="149" t="str">
        <f>VLOOKUP(Read_First!B5,Items!A1:BI50,58,FALSE)</f>
        <v>Stimulation</v>
      </c>
      <c r="N5" s="149"/>
      <c r="P5" s="149" t="str">
        <f>VLOOKUP(Read_First!B5,Items!A1:BI50,59,FALSE)</f>
        <v>Originalité</v>
      </c>
      <c r="Q5" s="149"/>
    </row>
    <row r="6" spans="1:18">
      <c r="A6" s="106" t="s">
        <v>0</v>
      </c>
      <c r="B6" s="107" t="s">
        <v>115</v>
      </c>
      <c r="D6" s="106" t="s">
        <v>0</v>
      </c>
      <c r="E6" s="108" t="s">
        <v>115</v>
      </c>
      <c r="G6" s="102" t="s">
        <v>0</v>
      </c>
      <c r="H6" s="108" t="s">
        <v>115</v>
      </c>
      <c r="J6" s="104" t="s">
        <v>0</v>
      </c>
      <c r="K6" s="108" t="s">
        <v>115</v>
      </c>
      <c r="M6" s="106" t="s">
        <v>0</v>
      </c>
      <c r="N6" s="108" t="s">
        <v>115</v>
      </c>
      <c r="P6" s="106" t="s">
        <v>0</v>
      </c>
      <c r="Q6" s="108" t="s">
        <v>115</v>
      </c>
    </row>
    <row r="7" spans="1:18">
      <c r="A7" s="79" t="s">
        <v>36</v>
      </c>
      <c r="B7" s="80">
        <f>CORREL(DT!A4:A1004,DT!L4:L1004)</f>
        <v>0.59090909090909094</v>
      </c>
      <c r="D7" s="79" t="s">
        <v>5</v>
      </c>
      <c r="E7" s="80">
        <f>CORREL(DT!B4:B1004,DT!D4:D1004)</f>
        <v>0</v>
      </c>
      <c r="G7" s="79" t="s">
        <v>11</v>
      </c>
      <c r="H7" s="80">
        <f>CORREL(DT!I4:I1004,DT!T4:T1004)</f>
        <v>-0.25819888974716115</v>
      </c>
      <c r="J7" s="79" t="s">
        <v>17</v>
      </c>
      <c r="K7" s="80">
        <f>CORREL(DT!H4:H1004,DT!K4:K1004)</f>
        <v>0.19245008972987521</v>
      </c>
      <c r="M7" s="79" t="s">
        <v>24</v>
      </c>
      <c r="N7" s="80">
        <f>CORREL(DT!E4:E1004,DT!F4:F1004)</f>
        <v>0.23452078799117149</v>
      </c>
      <c r="P7" s="79" t="s">
        <v>34</v>
      </c>
      <c r="Q7" s="80">
        <f>CORREL(DT!C4:C1004,DT!J4:J1004)</f>
        <v>-0.57735026918962584</v>
      </c>
    </row>
    <row r="8" spans="1:18">
      <c r="A8" s="31" t="s">
        <v>37</v>
      </c>
      <c r="B8" s="32">
        <f>CORREL(DT!A4:A1004,DT!N4:N1004)</f>
        <v>0.62363487277849883</v>
      </c>
      <c r="D8" s="31" t="s">
        <v>6</v>
      </c>
      <c r="E8" s="32">
        <f>CORREL(DT!B4:B1004,DT!M4:M1004)</f>
        <v>-0.11180339887498952</v>
      </c>
      <c r="G8" s="31" t="s">
        <v>12</v>
      </c>
      <c r="H8" s="32">
        <f>CORREL(DT!I4:I1004,DT!V4:V1004)</f>
        <v>-4.0160966445124929E-2</v>
      </c>
      <c r="J8" s="31" t="s">
        <v>18</v>
      </c>
      <c r="K8" s="32">
        <f>CORREL(DT!H4:H1004,DT!Q4:Q1004)</f>
        <v>0.47894747207139982</v>
      </c>
      <c r="M8" s="31" t="s">
        <v>25</v>
      </c>
      <c r="N8" s="32">
        <f>CORREL(DT!E4:E1004,DT!G4:G1004)</f>
        <v>0.52764485301108632</v>
      </c>
      <c r="P8" s="31" t="s">
        <v>33</v>
      </c>
      <c r="Q8" s="32">
        <f>CORREL(DT!C4:C1004,DT!O4:O1004)</f>
        <v>-0.64549722436790291</v>
      </c>
    </row>
    <row r="9" spans="1:18">
      <c r="A9" s="31" t="s">
        <v>38</v>
      </c>
      <c r="B9" s="32">
        <f>CORREL(DT!A4:A1004,DT!P4:P1004)</f>
        <v>0.10660035817780524</v>
      </c>
      <c r="D9" s="31" t="s">
        <v>7</v>
      </c>
      <c r="E9" s="32">
        <f>CORREL(DT!B4:B1004,DT!U4:U1004)</f>
        <v>3.952847075210475E-2</v>
      </c>
      <c r="G9" s="31" t="s">
        <v>13</v>
      </c>
      <c r="H9" s="32">
        <f>CORREL(DT!I4:I1004,DT!W4:W1004)</f>
        <v>-0.38890872965260115</v>
      </c>
      <c r="J9" s="31" t="s">
        <v>19</v>
      </c>
      <c r="K9" s="32">
        <f>CORREL(DT!H4:H1004,DT!S4:S1004)</f>
        <v>0.29215327373407163</v>
      </c>
      <c r="M9" s="31" t="s">
        <v>26</v>
      </c>
      <c r="N9" s="32">
        <f>CORREL(DT!E4:E1004,DT!R4:R1004)</f>
        <v>0.3077287274483318</v>
      </c>
      <c r="P9" s="31" t="s">
        <v>32</v>
      </c>
      <c r="Q9" s="32">
        <f>CORREL(DT!C4:C1004,DT!Z4:Z1004)</f>
        <v>0</v>
      </c>
    </row>
    <row r="10" spans="1:18">
      <c r="A10" s="31" t="s">
        <v>39</v>
      </c>
      <c r="B10" s="32">
        <f>CORREL(DT!A4:A1004,DT!X4:X1004)</f>
        <v>0.22613350843332269</v>
      </c>
      <c r="D10" s="31" t="s">
        <v>8</v>
      </c>
      <c r="E10" s="32">
        <f>CORREL(DT!D4:D1004,DT!M4:M1004)</f>
        <v>0.40089186286863659</v>
      </c>
      <c r="G10" s="31" t="s">
        <v>14</v>
      </c>
      <c r="H10" s="32">
        <f>CORREL(DT!T4:T1004,DT!V4:V1004)</f>
        <v>0.41478067789217005</v>
      </c>
      <c r="J10" s="31" t="s">
        <v>20</v>
      </c>
      <c r="K10" s="32">
        <f>CORREL(DT!K4:K1004,DT!Q4:Q1004)</f>
        <v>0.46662826262869134</v>
      </c>
      <c r="M10" s="31" t="s">
        <v>27</v>
      </c>
      <c r="N10" s="32">
        <f>CORREL(DT!F4:F1004,DT!G4:G1004)</f>
        <v>0.49497474683058329</v>
      </c>
      <c r="P10" s="31" t="s">
        <v>31</v>
      </c>
      <c r="Q10" s="32">
        <f>CORREL(DT!J4:J1004,DT!O4:O1004)</f>
        <v>0.83852549156242118</v>
      </c>
    </row>
    <row r="11" spans="1:18">
      <c r="A11" s="31" t="s">
        <v>40</v>
      </c>
      <c r="B11" s="32">
        <f>CORREL(DT!A4:A1004,DT!Y4:Y1004)</f>
        <v>0.56853524361496111</v>
      </c>
      <c r="D11" s="31" t="s">
        <v>9</v>
      </c>
      <c r="E11" s="32">
        <f>CORREL(DT!D4:D1004,DT!U4:U1004)</f>
        <v>0.28347335475692043</v>
      </c>
      <c r="G11" s="31" t="s">
        <v>15</v>
      </c>
      <c r="H11" s="32">
        <f>CORREL(DT!T4:T1004,DT!W4:W1004)</f>
        <v>0.73029674334022165</v>
      </c>
      <c r="J11" s="31" t="s">
        <v>21</v>
      </c>
      <c r="K11" s="32">
        <f>CORREL(DT!K4:K1004,DT!S4:S1004)</f>
        <v>0.81742389136959914</v>
      </c>
      <c r="M11" s="31" t="s">
        <v>28</v>
      </c>
      <c r="N11" s="32">
        <f>CORREL(DT!F4:F1004,DT!R4:R1004)</f>
        <v>0.46188021535170071</v>
      </c>
      <c r="P11" s="31" t="s">
        <v>30</v>
      </c>
      <c r="Q11" s="32">
        <f>CORREL(DT!J4:J1004,DT!Z4:Z1004)</f>
        <v>0</v>
      </c>
    </row>
    <row r="12" spans="1:18">
      <c r="A12" s="31" t="s">
        <v>41</v>
      </c>
      <c r="B12" s="32">
        <f>CORREL(DT!L4:L1004,DT!N4:N1004)</f>
        <v>0.32024493467003989</v>
      </c>
      <c r="D12" s="31" t="s">
        <v>10</v>
      </c>
      <c r="E12" s="32">
        <f>CORREL(DT!M4:M1004,DT!U4:U1004)</f>
        <v>0.35355339059327384</v>
      </c>
      <c r="G12" s="31" t="s">
        <v>16</v>
      </c>
      <c r="H12" s="32">
        <f>CORREL(DT!V4:V1004,DT!W4:W1004)</f>
        <v>0.1419904585617662</v>
      </c>
      <c r="J12" s="31" t="s">
        <v>22</v>
      </c>
      <c r="K12" s="32">
        <f>CORREL(DT!Q4:Q1004,DT!S4:S1004)</f>
        <v>0.49646846668889483</v>
      </c>
      <c r="M12" s="31" t="s">
        <v>23</v>
      </c>
      <c r="N12" s="32">
        <f>CORREL(DT!G4:G1004,DT!R4:R1004)</f>
        <v>0.20412414523193145</v>
      </c>
      <c r="P12" s="31" t="s">
        <v>29</v>
      </c>
      <c r="Q12" s="32">
        <f>CORREL(DT!O4:O1004,DT!Z4:Z1004)</f>
        <v>0.39131189606246325</v>
      </c>
    </row>
    <row r="13" spans="1:18">
      <c r="A13" s="31" t="s">
        <v>42</v>
      </c>
      <c r="B13" s="32">
        <f>CORREL(DT!L4:L1004,DT!P4:P1004)</f>
        <v>-0.21320071635561039</v>
      </c>
      <c r="D13" s="33" t="s">
        <v>826</v>
      </c>
      <c r="E13" s="32">
        <f>AVERAGE(E7:E12)</f>
        <v>0.16094061334932436</v>
      </c>
      <c r="G13" s="33" t="s">
        <v>826</v>
      </c>
      <c r="H13" s="32">
        <f>AVERAGE(H7:H12)</f>
        <v>9.9966548991545112E-2</v>
      </c>
      <c r="J13" s="33" t="s">
        <v>826</v>
      </c>
      <c r="K13" s="32">
        <f>AVERAGE(K7:K12)</f>
        <v>0.45734524270375537</v>
      </c>
      <c r="M13" s="33" t="s">
        <v>826</v>
      </c>
      <c r="N13" s="32">
        <f>AVERAGE(N7:N12)</f>
        <v>0.37181224597746754</v>
      </c>
      <c r="P13" s="33" t="s">
        <v>826</v>
      </c>
      <c r="Q13" s="32">
        <f>AVERAGE(Q7:Q12)</f>
        <v>1.1649823445592604E-3</v>
      </c>
    </row>
    <row r="14" spans="1:18">
      <c r="A14" s="31" t="s">
        <v>43</v>
      </c>
      <c r="B14" s="32">
        <f>CORREL(DT!L4:L1004,DT!X4:X1004)</f>
        <v>-0.22613350843332269</v>
      </c>
      <c r="C14" s="7"/>
      <c r="D14" s="44" t="s">
        <v>4</v>
      </c>
      <c r="E14" s="45">
        <f>(4*E13)/(1+(3*E13))</f>
        <v>0.43414686512606937</v>
      </c>
      <c r="F14" s="46"/>
      <c r="G14" s="44" t="s">
        <v>4</v>
      </c>
      <c r="H14" s="45">
        <f>(4*H13)/(1+(3*H13))</f>
        <v>0.3076131275955204</v>
      </c>
      <c r="I14" s="46"/>
      <c r="J14" s="44" t="s">
        <v>4</v>
      </c>
      <c r="K14" s="45">
        <f>(4*K13)/(1+(3*K13))</f>
        <v>0.77122825307174725</v>
      </c>
      <c r="L14" s="46"/>
      <c r="M14" s="44" t="s">
        <v>4</v>
      </c>
      <c r="N14" s="45">
        <f>(4*N13)/(1+(3*N13))</f>
        <v>0.70304583315664915</v>
      </c>
      <c r="P14" s="44" t="s">
        <v>4</v>
      </c>
      <c r="Q14" s="45">
        <f>(4*Q13)/(1+(3*Q13))</f>
        <v>4.6436998930704651E-3</v>
      </c>
    </row>
    <row r="15" spans="1:18">
      <c r="A15" s="31" t="s">
        <v>44</v>
      </c>
      <c r="B15" s="32">
        <f>CORREL(DT!L4:L1004,DT!Y4:Y1004)</f>
        <v>0.88833631814837677</v>
      </c>
      <c r="D15" s="161" t="s">
        <v>1462</v>
      </c>
      <c r="E15" s="36">
        <f>1-EXP(LN(1-E14)+1.96*SQRT(8/(3*(Results!E3-2))))</f>
        <v>-0.89708320287712295</v>
      </c>
      <c r="G15" s="161" t="s">
        <v>1462</v>
      </c>
      <c r="H15" s="36">
        <f>1-EXP(LN(1-H14)+1.96*SQRT(8/(3*(Results!E3-2))))</f>
        <v>-1.3213011019613936</v>
      </c>
      <c r="J15" s="161" t="s">
        <v>1462</v>
      </c>
      <c r="K15" s="36">
        <f>1-EXP(LN(1-K14)+1.96*SQRT(8/(3*(Results!E3-2))))</f>
        <v>0.23301823098119401</v>
      </c>
      <c r="M15" s="161" t="s">
        <v>1462</v>
      </c>
      <c r="N15" s="36">
        <f>1-EXP(LN(1-N14)+1.96*SQRT(8/(3*(Results!E3-2))))</f>
        <v>4.4293700548242443E-3</v>
      </c>
      <c r="P15" s="161" t="s">
        <v>1462</v>
      </c>
      <c r="Q15" s="36">
        <f>1-EXP(LN(1-Q14)+1.96*SQRT(8/(3*(Results!E3-2))))</f>
        <v>-2.3370385378027021</v>
      </c>
    </row>
    <row r="16" spans="1:18">
      <c r="A16" s="31" t="s">
        <v>45</v>
      </c>
      <c r="B16" s="32">
        <f>CORREL(DT!N4:N1004,DT!P4:P1004)</f>
        <v>0.39528470752104744</v>
      </c>
      <c r="D16" s="162"/>
      <c r="E16" s="36">
        <f>1-EXP(LN(1-E14)-1.96*SQRT(8/(3*(Results!E3-2))))</f>
        <v>0.83121996454290792</v>
      </c>
      <c r="G16" s="162"/>
      <c r="H16" s="36">
        <f>1-EXP(LN(1-H14)-1.96*SQRT(8/(3*(Results!E3-2))))</f>
        <v>0.79347807112442825</v>
      </c>
      <c r="J16" s="162"/>
      <c r="K16" s="36">
        <f>1-EXP(LN(1-K14)-1.96*SQRT(8/(3*(Results!E3-2))))</f>
        <v>0.93176302970074731</v>
      </c>
      <c r="M16" s="162"/>
      <c r="N16" s="36">
        <f>1-EXP(LN(1-N14)-1.96*SQRT(8/(3*(Results!E3-2))))</f>
        <v>0.91142589530741314</v>
      </c>
      <c r="P16" s="162"/>
      <c r="Q16" s="36">
        <f>1-EXP(LN(1-Q14)-1.96*SQRT(8/(3*(Results!E3-2))))</f>
        <v>0.70310976246174484</v>
      </c>
    </row>
    <row r="17" spans="1:18">
      <c r="A17" s="31" t="s">
        <v>46</v>
      </c>
      <c r="B17" s="32">
        <f>CORREL(DT!N4:N1004,DT!X4:X1004)</f>
        <v>0.67082039324993692</v>
      </c>
    </row>
    <row r="18" spans="1:18">
      <c r="A18" s="31" t="s">
        <v>47</v>
      </c>
      <c r="B18" s="32">
        <f>CORREL(DT!N4:N1004,DT!Y4:Y1004)</f>
        <v>0.2108185106778919</v>
      </c>
    </row>
    <row r="19" spans="1:18">
      <c r="A19" s="31" t="s">
        <v>48</v>
      </c>
      <c r="B19" s="32">
        <f>CORREL(DT!P4:P1004,DT!X4:X1004)</f>
        <v>0</v>
      </c>
    </row>
    <row r="20" spans="1:18">
      <c r="A20" s="31" t="s">
        <v>116</v>
      </c>
      <c r="B20" s="32">
        <f>CORREL(DT!P4:P1004,DT!Y4:Y1004)</f>
        <v>-0.33333333333333326</v>
      </c>
    </row>
    <row r="21" spans="1:18">
      <c r="A21" s="31" t="s">
        <v>35</v>
      </c>
      <c r="B21" s="32">
        <f>CORREL(DT!X4:X1004,DT!Y4:Y1004)</f>
        <v>-0.11785113019775795</v>
      </c>
    </row>
    <row r="22" spans="1:18">
      <c r="A22" s="33" t="s">
        <v>826</v>
      </c>
      <c r="B22" s="32">
        <f>AVERAGE(B7:B21)</f>
        <v>0.24738661665739653</v>
      </c>
    </row>
    <row r="23" spans="1:18">
      <c r="A23" s="44" t="s">
        <v>4</v>
      </c>
      <c r="B23" s="45">
        <f>(6*B22)/(1+(5*B22))</f>
        <v>0.66355123049246412</v>
      </c>
    </row>
    <row r="24" spans="1:18">
      <c r="A24" s="161" t="s">
        <v>1462</v>
      </c>
      <c r="B24" s="36">
        <f>1-EXP(LN(1-B23)+1.96*SQRT(12/(5*(Results!E3-2))))</f>
        <v>-6.0085005897135169E-2</v>
      </c>
    </row>
    <row r="25" spans="1:18">
      <c r="A25" s="162"/>
      <c r="B25" s="36">
        <f>1-EXP(LN(1-B23)-1.96*SQRT(12/(5*(Results!E3-2))))</f>
        <v>0.89321820997992762</v>
      </c>
    </row>
    <row r="27" spans="1:18" ht="66.5" customHeight="1">
      <c r="A27" s="163" t="s">
        <v>1279</v>
      </c>
      <c r="B27" s="164"/>
      <c r="C27" s="164"/>
      <c r="D27" s="164"/>
      <c r="E27" s="164"/>
      <c r="F27" s="164"/>
      <c r="G27" s="164"/>
      <c r="H27" s="164"/>
      <c r="I27" s="164"/>
      <c r="J27" s="164"/>
      <c r="K27" s="164"/>
      <c r="L27" s="164"/>
      <c r="M27" s="164"/>
      <c r="N27" s="164"/>
      <c r="O27" s="164"/>
      <c r="P27" s="164"/>
      <c r="Q27" s="164"/>
      <c r="R27" s="164"/>
    </row>
    <row r="29" spans="1:18">
      <c r="A29" s="165" t="str">
        <f>VLOOKUP(Read_First!B5,Items!A1:BI50,54,FALSE)</f>
        <v>Attraction</v>
      </c>
      <c r="B29" s="165"/>
      <c r="D29" s="165" t="str">
        <f>VLOOKUP(Read_First!B5,Items!A1:BI50,55,FALSE)</f>
        <v>Compréhensibilité</v>
      </c>
      <c r="E29" s="165"/>
      <c r="G29" s="165" t="str">
        <f>VLOOKUP(Read_First!B5,Items!A1:BI50,56,FALSE)</f>
        <v>Efficacité</v>
      </c>
      <c r="H29" s="165"/>
      <c r="J29" s="165" t="str">
        <f>VLOOKUP(Read_First!B5,Items!A1:BI50,57,FALSE)</f>
        <v>Contrôlabilité</v>
      </c>
      <c r="K29" s="165"/>
      <c r="M29" s="165" t="e">
        <f>VLOOKUP(Read_First!B5,Items!A1:BI5,58,FALSE)</f>
        <v>#N/A</v>
      </c>
      <c r="N29" s="165"/>
      <c r="P29" s="165" t="str">
        <f>VLOOKUP(Read_First!B5,Items!A1:BI55,59,FALSE)</f>
        <v>Originalité</v>
      </c>
      <c r="Q29" s="165"/>
    </row>
    <row r="30" spans="1:18">
      <c r="A30" s="41" t="s">
        <v>1277</v>
      </c>
      <c r="B30" s="41">
        <f>1-((Results!C3+Results!C14+Results!C16+Results!C18+Results!C26+Results!C27)/(36*(Results!M3)))</f>
        <v>0.56561085972850755</v>
      </c>
      <c r="D30" s="41" t="s">
        <v>1277</v>
      </c>
      <c r="E30" s="41">
        <f>1-((Results!C4+Results!C6+Results!C15+Results!C23)/(16*(Results!M4)))</f>
        <v>0.33950617283950613</v>
      </c>
      <c r="G30" s="41" t="s">
        <v>1277</v>
      </c>
      <c r="H30" s="41">
        <f>1-((Results!C11+Results!C22+Results!C24+Results!C25)/(16*(Results!M5)))</f>
        <v>-9.7345132743362539E-2</v>
      </c>
      <c r="J30" s="41" t="s">
        <v>1277</v>
      </c>
      <c r="K30" s="41">
        <f>1-((Results!C10+Results!C13+Results!C19+Results!C21)/(16*(Results!M6)))</f>
        <v>0.54883720930232549</v>
      </c>
      <c r="M30" s="41" t="s">
        <v>1277</v>
      </c>
      <c r="N30" s="41">
        <f>1-((Results!C7+Results!C8+Results!C9+Results!C20)/(16*(Results!M7)))</f>
        <v>0.52331606217616611</v>
      </c>
      <c r="P30" s="41" t="s">
        <v>1277</v>
      </c>
      <c r="Q30" s="41">
        <f>1-((Results!C5+Results!C12+Results!C17+Results!C28)/(16*(Results!M8)))</f>
        <v>-0.2999999999999996</v>
      </c>
    </row>
    <row r="32" spans="1:18">
      <c r="A32" s="82" t="s">
        <v>0</v>
      </c>
      <c r="B32" s="56" t="s">
        <v>1274</v>
      </c>
      <c r="D32" s="82" t="s">
        <v>0</v>
      </c>
      <c r="E32" s="56" t="s">
        <v>1274</v>
      </c>
      <c r="G32" s="82" t="s">
        <v>0</v>
      </c>
      <c r="H32" s="56" t="s">
        <v>1274</v>
      </c>
      <c r="J32" s="82" t="s">
        <v>0</v>
      </c>
      <c r="K32" s="56" t="s">
        <v>1274</v>
      </c>
      <c r="M32" s="82" t="s">
        <v>0</v>
      </c>
      <c r="N32" s="56" t="s">
        <v>1274</v>
      </c>
      <c r="P32" s="78" t="s">
        <v>0</v>
      </c>
      <c r="Q32" s="81" t="s">
        <v>1274</v>
      </c>
    </row>
    <row r="33" spans="1:17">
      <c r="A33" s="31" t="s">
        <v>36</v>
      </c>
      <c r="B33" s="32">
        <f>COVAR(DT!A4:A1004,DT!L4:L1004)^2</f>
        <v>0.10303307422648988</v>
      </c>
      <c r="D33" s="31" t="s">
        <v>5</v>
      </c>
      <c r="E33" s="32">
        <f>_xlfn.COVARIANCE.S(DT!B4:B1004,DT!D4:D1004)^2</f>
        <v>0</v>
      </c>
      <c r="G33" s="31" t="s">
        <v>11</v>
      </c>
      <c r="H33" s="32">
        <f>COVAR(DT!I4:I1004,DT!T4:T1004)^2</f>
        <v>0.19753086419753085</v>
      </c>
      <c r="J33" s="31" t="s">
        <v>17</v>
      </c>
      <c r="K33" s="32">
        <f>COVAR(DT!H4:H1004,DT!K4:K1004)^2</f>
        <v>4.9382716049382713E-2</v>
      </c>
      <c r="M33" s="31" t="s">
        <v>24</v>
      </c>
      <c r="N33" s="32">
        <f>COVAR(DT!E4:E1004,DT!F4:F1004)^2</f>
        <v>1.8442310623380587E-2</v>
      </c>
      <c r="P33" s="31" t="s">
        <v>34</v>
      </c>
      <c r="Q33" s="32">
        <f>COVAR(DT!C4:C1004,DT!J4:J1004)^2</f>
        <v>0.19753086419753085</v>
      </c>
    </row>
    <row r="34" spans="1:17">
      <c r="A34" s="31" t="s">
        <v>37</v>
      </c>
      <c r="B34" s="32">
        <f>COVAR(DT!A4:A1004,DT!N4:N1004)^2</f>
        <v>0.20865721688766958</v>
      </c>
      <c r="D34" s="31" t="s">
        <v>6</v>
      </c>
      <c r="E34" s="32">
        <f>_xlfn.COVARIANCE.S(DT!B4:B1004,DT!M4:M1004)^2</f>
        <v>1.7361111111111121E-3</v>
      </c>
      <c r="G34" s="31" t="s">
        <v>12</v>
      </c>
      <c r="H34" s="32">
        <f>COVAR(DT!I4:I1004,DT!V4:V1004)^2</f>
        <v>5.4869684499314082E-3</v>
      </c>
      <c r="J34" s="31" t="s">
        <v>18</v>
      </c>
      <c r="K34" s="32">
        <f>COVAR(DT!H4:H1004,DT!Q4:Q1004)^2</f>
        <v>0.35116598079561051</v>
      </c>
      <c r="M34" s="31" t="s">
        <v>25</v>
      </c>
      <c r="N34" s="32">
        <f>COVAR(DT!E4:E1004,DT!G4:G1004)^2</f>
        <v>6.7215363511659826E-2</v>
      </c>
      <c r="P34" s="31" t="s">
        <v>33</v>
      </c>
      <c r="Q34" s="32">
        <f>COVAR(DT!C4:C1004,DT!O4:O1004)^2</f>
        <v>0.54869684499314142</v>
      </c>
    </row>
    <row r="35" spans="1:17">
      <c r="A35" s="31" t="s">
        <v>38</v>
      </c>
      <c r="B35" s="32">
        <f>COVAR(DT!A4:A1004,DT!P4:P1004)^2</f>
        <v>1.3717421124828542E-3</v>
      </c>
      <c r="D35" s="31" t="s">
        <v>7</v>
      </c>
      <c r="E35" s="32">
        <f>_xlfn.COVARIANCE.S(DT!B4:B1004,DT!U4:U1004)^2</f>
        <v>1.9290123456790136E-4</v>
      </c>
      <c r="G35" s="31" t="s">
        <v>13</v>
      </c>
      <c r="H35" s="32">
        <f>COVAR(DT!I4:I1004,DT!W4:W1004)^2</f>
        <v>0.16598079561042522</v>
      </c>
      <c r="J35" s="31" t="s">
        <v>19</v>
      </c>
      <c r="K35" s="32">
        <f>COVAR(DT!H4:H1004,DT!S4:S1004)^2</f>
        <v>0.23182441700960227</v>
      </c>
      <c r="M35" s="31" t="s">
        <v>26</v>
      </c>
      <c r="N35" s="32">
        <f>COVAR(DT!E4:E1004,DT!R4:R1004)^2</f>
        <v>3.4293552812071325E-2</v>
      </c>
      <c r="P35" s="31" t="s">
        <v>32</v>
      </c>
      <c r="Q35" s="32">
        <f>COVAR(DT!C4:C1004,DT!Z4:Z1004)^2</f>
        <v>0</v>
      </c>
    </row>
    <row r="36" spans="1:17">
      <c r="A36" s="31" t="s">
        <v>39</v>
      </c>
      <c r="B36" s="32">
        <f>COVAR(DT!A4:A1004,DT!X4:X1004)^2</f>
        <v>1.2345679012345678E-2</v>
      </c>
      <c r="D36" s="31" t="s">
        <v>8</v>
      </c>
      <c r="E36" s="32">
        <f>_xlfn.COVARIANCE.S(DT!D4:D1004,DT!M4:M1004)^2</f>
        <v>0.140625</v>
      </c>
      <c r="G36" s="31" t="s">
        <v>14</v>
      </c>
      <c r="H36" s="32">
        <f>COVAR(DT!T4:T1004,DT!V4:V1004)^2</f>
        <v>8.77914951989026E-2</v>
      </c>
      <c r="J36" s="31" t="s">
        <v>20</v>
      </c>
      <c r="K36" s="32">
        <f>COVAR(DT!K4:K1004,DT!Q4:Q1004)^2</f>
        <v>0.1111111111111111</v>
      </c>
      <c r="M36" s="31" t="s">
        <v>27</v>
      </c>
      <c r="N36" s="32">
        <f>COVAR(DT!F4:F1004,DT!G4:G1004)^2</f>
        <v>6.7215363511659826E-2</v>
      </c>
      <c r="P36" s="31" t="s">
        <v>31</v>
      </c>
      <c r="Q36" s="32">
        <f>COVAR(DT!J4:J1004,DT!O4:O1004)^2</f>
        <v>0.30864197530864201</v>
      </c>
    </row>
    <row r="37" spans="1:17">
      <c r="A37" s="31" t="s">
        <v>40</v>
      </c>
      <c r="B37" s="32">
        <f>COVAR(DT!A4:A1004,DT!Y4:Y1004)^2</f>
        <v>0.35116598079561051</v>
      </c>
      <c r="D37" s="31" t="s">
        <v>9</v>
      </c>
      <c r="E37" s="32">
        <f>_xlfn.COVARIANCE.S(DT!D4:D1004,DT!U4:U1004)^2</f>
        <v>6.25E-2</v>
      </c>
      <c r="G37" s="31" t="s">
        <v>15</v>
      </c>
      <c r="H37" s="32">
        <f>COVAR(DT!T4:T1004,DT!W4:W1004)^2</f>
        <v>8.7791495198902628E-2</v>
      </c>
      <c r="J37" s="31" t="s">
        <v>21</v>
      </c>
      <c r="K37" s="32">
        <f>COVAR(DT!K4:K1004,DT!S4:S1004)^2</f>
        <v>0.60493827160493829</v>
      </c>
      <c r="M37" s="31" t="s">
        <v>28</v>
      </c>
      <c r="N37" s="32">
        <f>COVAR(DT!F4:F1004,DT!R4:R1004)^2</f>
        <v>8.7791495198902628E-2</v>
      </c>
      <c r="P37" s="31" t="s">
        <v>30</v>
      </c>
      <c r="Q37" s="32">
        <f>COVAR(DT!J4:J1004,DT!Z4:Z1004)^2</f>
        <v>0</v>
      </c>
    </row>
    <row r="38" spans="1:17">
      <c r="A38" s="31" t="s">
        <v>41</v>
      </c>
      <c r="B38" s="32">
        <f>COVAR(DT!L4:L1004,DT!N4:N1004)^2</f>
        <v>5.5022100289589981E-2</v>
      </c>
      <c r="D38" s="31" t="s">
        <v>10</v>
      </c>
      <c r="E38" s="32">
        <f>_xlfn.COVARIANCE.S(DT!M4:M1004,DT!U4:U1004)^2</f>
        <v>2.7777777777777794E-2</v>
      </c>
      <c r="G38" s="31" t="s">
        <v>16</v>
      </c>
      <c r="H38" s="32">
        <f>COVAR(DT!V4:V1004,DT!W4:W1004)^2</f>
        <v>3.8103947568968151E-3</v>
      </c>
      <c r="J38" s="31" t="s">
        <v>22</v>
      </c>
      <c r="K38" s="32">
        <f>COVAR(DT!Q4:Q1004,DT!S4:S1004)^2</f>
        <v>0.25621094345374185</v>
      </c>
      <c r="M38" s="31" t="s">
        <v>23</v>
      </c>
      <c r="N38" s="32">
        <f>COVAR(DT!G4:G1004,DT!R4:R1004)^2</f>
        <v>1.2345679012345678E-2</v>
      </c>
      <c r="P38" s="31" t="s">
        <v>29</v>
      </c>
      <c r="Q38" s="32">
        <f>COVAR(DT!O4:O1004,DT!Z4:Z1004)^2</f>
        <v>6.7215363511659826E-2</v>
      </c>
    </row>
    <row r="39" spans="1:17">
      <c r="A39" s="31" t="s">
        <v>42</v>
      </c>
      <c r="B39" s="32">
        <f>COVAR(DT!L4:L1004,DT!P4:P1004)^2</f>
        <v>5.4869684499314125E-3</v>
      </c>
      <c r="D39" s="31" t="s">
        <v>1275</v>
      </c>
      <c r="E39" s="6">
        <f>SUM(E33:E38)</f>
        <v>0.23283179012345681</v>
      </c>
      <c r="G39" s="31" t="s">
        <v>1275</v>
      </c>
      <c r="H39" s="6">
        <f>SUM(H33:H38)</f>
        <v>0.54839201341258959</v>
      </c>
      <c r="J39" s="31" t="s">
        <v>1275</v>
      </c>
      <c r="K39" s="6">
        <f>SUM(K33:K38)</f>
        <v>1.6046334400243867</v>
      </c>
      <c r="M39" s="31" t="s">
        <v>1275</v>
      </c>
      <c r="N39" s="6">
        <f>SUM(N33:N38)</f>
        <v>0.28730376467001989</v>
      </c>
      <c r="P39" s="31" t="s">
        <v>1275</v>
      </c>
      <c r="Q39" s="6">
        <f>SUM(Q33:Q38)</f>
        <v>1.1220850480109741</v>
      </c>
    </row>
    <row r="40" spans="1:17">
      <c r="A40" s="31" t="s">
        <v>43</v>
      </c>
      <c r="B40" s="32">
        <f>COVAR(DT!L4:L1004,DT!X4:X1004)^2</f>
        <v>1.2345679012345678E-2</v>
      </c>
      <c r="D40" s="33" t="s">
        <v>1276</v>
      </c>
      <c r="E40" s="40">
        <f>E30+SQRT((4/3)*2*E39)/(16*(Results!M4))</f>
        <v>0.51460893260405993</v>
      </c>
      <c r="G40" s="33" t="s">
        <v>1276</v>
      </c>
      <c r="H40" s="40">
        <f>H30+SQRT((4/3)*2*H39)/(16*(Results!M5))</f>
        <v>9.5284895530978436E-2</v>
      </c>
      <c r="J40" s="33" t="s">
        <v>1276</v>
      </c>
      <c r="K40" s="40">
        <f>K30+SQRT((4/3)*2*K39)/(16*(Results!M6))</f>
        <v>0.72202063680170891</v>
      </c>
      <c r="M40" s="33" t="s">
        <v>1276</v>
      </c>
      <c r="N40" s="40">
        <f>N30+SQRT((4/3)*2*N39)/(16*(Results!M7))</f>
        <v>0.68658374019445556</v>
      </c>
      <c r="P40" s="33" t="s">
        <v>1276</v>
      </c>
      <c r="Q40" s="40">
        <f>Q30+SQRT((4/3)*2*Q39)/(16*(Results!M8))</f>
        <v>0.3227299515782045</v>
      </c>
    </row>
    <row r="41" spans="1:17">
      <c r="A41" s="31" t="s">
        <v>44</v>
      </c>
      <c r="B41" s="32">
        <f>COVAR(DT!L4:L1004,DT!Y4:Y1004)^2</f>
        <v>0.85733882030178343</v>
      </c>
    </row>
    <row r="42" spans="1:17">
      <c r="A42" s="31" t="s">
        <v>45</v>
      </c>
      <c r="B42" s="32">
        <f>COVAR(DT!N4:N1004,DT!P4:P1004)^2</f>
        <v>3.4293552812071346E-2</v>
      </c>
    </row>
    <row r="43" spans="1:17">
      <c r="A43" s="31" t="s">
        <v>46</v>
      </c>
      <c r="B43" s="32">
        <f>COVAR(DT!N4:N1004,DT!X4:X1004)^2</f>
        <v>0.19753086419753085</v>
      </c>
    </row>
    <row r="44" spans="1:17">
      <c r="A44" s="31" t="s">
        <v>47</v>
      </c>
      <c r="B44" s="32">
        <f>COVAR(DT!N4:N1004,DT!Y4:Y1004)^2</f>
        <v>8.77914951989026E-2</v>
      </c>
    </row>
    <row r="45" spans="1:17">
      <c r="A45" s="31" t="s">
        <v>48</v>
      </c>
      <c r="B45" s="32">
        <f>COVAR(DT!P4:P1004,DT!X4:X1004)^2</f>
        <v>0</v>
      </c>
    </row>
    <row r="46" spans="1:17">
      <c r="A46" s="31" t="s">
        <v>116</v>
      </c>
      <c r="B46" s="32">
        <f>COVAR(DT!P4:P1004,DT!Y4:Y1004)^2</f>
        <v>4.9382716049382713E-2</v>
      </c>
    </row>
    <row r="47" spans="1:17">
      <c r="A47" s="31" t="s">
        <v>35</v>
      </c>
      <c r="B47" s="32">
        <f>COVAR(DT!X4:X1004,DT!Y4:Y1004)^2</f>
        <v>1.2345679012345684E-2</v>
      </c>
    </row>
    <row r="48" spans="1:17">
      <c r="A48" s="31" t="s">
        <v>1275</v>
      </c>
      <c r="B48" s="6">
        <f>SUM(B33:B47)</f>
        <v>1.988111568358482</v>
      </c>
    </row>
    <row r="49" spans="1:2">
      <c r="A49" s="33" t="s">
        <v>1276</v>
      </c>
      <c r="B49" s="40">
        <f>B30+SQRT((6/5)*2*B48)/(36*(Results!M3))</f>
        <v>0.74352326390893853</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workbookViewId="0">
      <selection activeCell="H2" sqref="H2"/>
    </sheetView>
  </sheetViews>
  <sheetFormatPr baseColWidth="10" defaultColWidth="9.1640625" defaultRowHeight="15"/>
  <cols>
    <col min="1" max="2" width="18.1640625" customWidth="1"/>
    <col min="3" max="3" width="26.83203125" customWidth="1"/>
    <col min="4" max="4" width="41.33203125" customWidth="1"/>
    <col min="5" max="5" width="20.1640625" customWidth="1"/>
    <col min="6" max="6" width="10.6640625" customWidth="1"/>
    <col min="7" max="8" width="15.6640625" customWidth="1"/>
  </cols>
  <sheetData>
    <row r="1" spans="1:8" ht="141.5" customHeight="1">
      <c r="A1" s="167" t="s">
        <v>2179</v>
      </c>
      <c r="B1" s="168"/>
      <c r="C1" s="168"/>
      <c r="D1" s="168"/>
      <c r="E1" s="168"/>
      <c r="F1" s="168"/>
      <c r="G1" s="168"/>
      <c r="H1" s="168"/>
    </row>
    <row r="2" spans="1:8">
      <c r="A2" s="109" t="s">
        <v>110</v>
      </c>
      <c r="B2" s="110" t="s">
        <v>106</v>
      </c>
      <c r="C2" s="110" t="s">
        <v>120</v>
      </c>
      <c r="D2" s="110" t="s">
        <v>121</v>
      </c>
    </row>
    <row r="3" spans="1:8">
      <c r="A3" s="14" t="str">
        <f>VLOOKUP(Read_First!B5,Items!A1:BI50,54,FALSE)</f>
        <v>Attraction</v>
      </c>
      <c r="B3" s="49">
        <f>Results!L3</f>
        <v>1.9074074074074072</v>
      </c>
      <c r="C3" s="13" t="str">
        <f>IF(B3&gt;E37,"Excellent",IF(B3&gt;D37,"Good",IF(B3&gt;C37,"Above average",IF(B3&gt;B37,"Below average","Bad"))))</f>
        <v>Excellent</v>
      </c>
      <c r="D3" t="str">
        <f t="shared" ref="D3:D8" si="0">IF(B3&gt;E37,"In the range of the 10% best results",IF(B3&gt;D37,"10% of results better, 75% of results worse",IF(B3&gt;C37,"25% of results better, 50% of results worse",IF(B3&gt;B37,"50% of results better, 25% of results worse","In the range of the 25% worst results"))))</f>
        <v>In the range of the 10% best results</v>
      </c>
    </row>
    <row r="4" spans="1:8">
      <c r="A4" s="14" t="str">
        <f>VLOOKUP(Read_First!B5,Items!A1:BI50,55,FALSE)</f>
        <v>Compréhensibilité</v>
      </c>
      <c r="B4" s="49">
        <f>Results!L4</f>
        <v>2</v>
      </c>
      <c r="C4" s="13" t="str">
        <f>IF(B4&gt;E38,"Excellent",IF(B4&gt;D38,"Good",IF(B4&gt;C38,"Above Average",IF(B4&gt;B38,"Below Average","Bad"))))</f>
        <v>Good</v>
      </c>
      <c r="D4" t="str">
        <f t="shared" si="0"/>
        <v>10% of results better, 75% of results worse</v>
      </c>
    </row>
    <row r="5" spans="1:8">
      <c r="A5" s="14" t="str">
        <f>VLOOKUP(Read_First!B5,Items!A1:BI50,56,FALSE)</f>
        <v>Efficacité</v>
      </c>
      <c r="B5" s="49">
        <f>Results!L5</f>
        <v>1.8611111111111112</v>
      </c>
      <c r="C5" s="13" t="str">
        <f>IF(B5&gt;E39,"Excellent",IF(B5&gt;D39,"Good",IF(B5&gt;C39,"Above Average",IF(B5&gt;B39,"Below Average","Bad"))))</f>
        <v>Good</v>
      </c>
      <c r="D5" t="str">
        <f t="shared" si="0"/>
        <v>10% of results better, 75% of results worse</v>
      </c>
    </row>
    <row r="6" spans="1:8">
      <c r="A6" s="15" t="str">
        <f>VLOOKUP(Read_First!B5,Items!A1:BI50,57,FALSE)</f>
        <v>Contrôlabilité</v>
      </c>
      <c r="B6" s="49">
        <f>Results!L6</f>
        <v>1.4444444444444444</v>
      </c>
      <c r="C6" s="13" t="str">
        <f>IF(B6&gt;E40,"Excellent",IF(B6&gt;D40,"Good",IF(B6&gt;C40,"Above Average",IF(B6&gt;B40,"Below Average","Bad"))))</f>
        <v>Above Average</v>
      </c>
      <c r="D6" t="str">
        <f t="shared" si="0"/>
        <v>25% of results better, 50% of results worse</v>
      </c>
    </row>
    <row r="7" spans="1:8">
      <c r="A7" s="15" t="str">
        <f>VLOOKUP(Read_First!B5,Items!A1:BI50,58,FALSE)</f>
        <v>Stimulation</v>
      </c>
      <c r="B7" s="49">
        <f>Results!L7</f>
        <v>1.4722222222222223</v>
      </c>
      <c r="C7" s="13" t="str">
        <f>IF(B7&gt;E41,"Excellent",IF(B7&gt;D41,"Good",IF(B7&gt;C41,"Above Average",IF(B7&gt;B41,"Below Average","Bad"))))</f>
        <v>Good</v>
      </c>
      <c r="D7" t="str">
        <f t="shared" si="0"/>
        <v>10% of results better, 75% of results worse</v>
      </c>
    </row>
    <row r="8" spans="1:8">
      <c r="A8" s="14" t="str">
        <f>VLOOKUP(Read_First!B5,Items!A1:BI50,59,FALSE)</f>
        <v>Originalité</v>
      </c>
      <c r="B8" s="49">
        <f>Results!L8</f>
        <v>0.88888888888888884</v>
      </c>
      <c r="C8" s="13" t="str">
        <f>IF(B8&gt;E42,"Excellent",IF(B8&gt;D42,"Good",IF(B8&gt;C42,"Above Average",IF(B8&gt;B42,"Below Average","Bad"))))</f>
        <v>Above Average</v>
      </c>
      <c r="D8" t="str">
        <f t="shared" si="0"/>
        <v>25% of results better, 50% of results worse</v>
      </c>
    </row>
    <row r="26" spans="1:8">
      <c r="A26" s="169" t="s">
        <v>822</v>
      </c>
      <c r="B26" s="169"/>
      <c r="C26" s="169"/>
      <c r="D26" s="169"/>
      <c r="E26" s="169"/>
      <c r="F26" s="169"/>
      <c r="G26" s="169"/>
      <c r="H26" s="169"/>
    </row>
    <row r="27" spans="1:8" s="17" customFormat="1" ht="16">
      <c r="A27" s="16" t="s">
        <v>110</v>
      </c>
      <c r="B27" s="16" t="s">
        <v>126</v>
      </c>
      <c r="C27" s="16" t="s">
        <v>125</v>
      </c>
      <c r="D27" s="16" t="s">
        <v>124</v>
      </c>
      <c r="E27" s="16" t="s">
        <v>123</v>
      </c>
      <c r="F27" s="16" t="s">
        <v>122</v>
      </c>
      <c r="G27" s="16" t="s">
        <v>119</v>
      </c>
      <c r="H27" s="16" t="s">
        <v>106</v>
      </c>
    </row>
    <row r="28" spans="1:8">
      <c r="A28" s="14" t="str">
        <f>VLOOKUP(Read_First!B5,Items!A1:BI50,54,FALSE)</f>
        <v>Attraction</v>
      </c>
      <c r="B28" s="27">
        <v>-1</v>
      </c>
      <c r="C28" s="28">
        <f>B37</f>
        <v>0.69</v>
      </c>
      <c r="D28" s="28">
        <f>C37-B37</f>
        <v>0.49</v>
      </c>
      <c r="E28" s="28">
        <f>D37-C37</f>
        <v>0.40000000000000013</v>
      </c>
      <c r="F28" s="28">
        <f>E37-D37</f>
        <v>0.26</v>
      </c>
      <c r="G28" s="28">
        <f>2.5-E37</f>
        <v>0.65999999999999992</v>
      </c>
      <c r="H28" s="50">
        <f>Results!L3</f>
        <v>1.9074074074074072</v>
      </c>
    </row>
    <row r="29" spans="1:8">
      <c r="A29" s="14" t="str">
        <f>VLOOKUP(Read_First!B5,Items!A1:BI50,55,FALSE)</f>
        <v>Compréhensibilité</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2</v>
      </c>
    </row>
    <row r="30" spans="1:8">
      <c r="A30" s="14" t="str">
        <f>VLOOKUP(Read_First!B5,Items!A1:BI50,56,FALSE)</f>
        <v>Efficacité</v>
      </c>
      <c r="B30" s="27">
        <v>-1</v>
      </c>
      <c r="C30" s="28">
        <f t="shared" si="1"/>
        <v>0.6</v>
      </c>
      <c r="D30" s="28">
        <f t="shared" si="2"/>
        <v>0.45000000000000007</v>
      </c>
      <c r="E30" s="28">
        <f t="shared" si="3"/>
        <v>0.44999999999999996</v>
      </c>
      <c r="F30" s="28">
        <f t="shared" si="4"/>
        <v>0.37999999999999989</v>
      </c>
      <c r="G30" s="28">
        <f t="shared" si="5"/>
        <v>0.62000000000000011</v>
      </c>
      <c r="H30" s="50">
        <f>Results!L5</f>
        <v>1.8611111111111112</v>
      </c>
    </row>
    <row r="31" spans="1:8">
      <c r="A31" s="15" t="str">
        <f>VLOOKUP(Read_First!B5,Items!A1:BI50,57,FALSE)</f>
        <v>Contrôlabilité</v>
      </c>
      <c r="B31" s="27">
        <v>-1</v>
      </c>
      <c r="C31" s="28">
        <f t="shared" si="1"/>
        <v>0.78</v>
      </c>
      <c r="D31" s="28">
        <f t="shared" si="2"/>
        <v>0.35999999999999988</v>
      </c>
      <c r="E31" s="28">
        <f t="shared" si="3"/>
        <v>0.34000000000000008</v>
      </c>
      <c r="F31" s="28">
        <f t="shared" si="4"/>
        <v>0.21999999999999997</v>
      </c>
      <c r="G31" s="28">
        <f t="shared" si="5"/>
        <v>0.8</v>
      </c>
      <c r="H31" s="50">
        <f>Results!L6</f>
        <v>1.4444444444444444</v>
      </c>
    </row>
    <row r="32" spans="1:8">
      <c r="A32" s="15" t="str">
        <f>VLOOKUP(Read_First!B5,Items!A1:BI50,58,FALSE)</f>
        <v>Stimulation</v>
      </c>
      <c r="B32" s="27">
        <v>-1</v>
      </c>
      <c r="C32" s="28">
        <f t="shared" si="1"/>
        <v>0.5</v>
      </c>
      <c r="D32" s="28">
        <f t="shared" si="2"/>
        <v>0.5</v>
      </c>
      <c r="E32" s="28">
        <f t="shared" si="3"/>
        <v>0.35000000000000009</v>
      </c>
      <c r="F32" s="28">
        <f t="shared" si="4"/>
        <v>0.34999999999999987</v>
      </c>
      <c r="G32" s="28">
        <f t="shared" si="5"/>
        <v>0.8</v>
      </c>
      <c r="H32" s="50">
        <f>Results!L7</f>
        <v>1.4722222222222223</v>
      </c>
    </row>
    <row r="33" spans="1:8">
      <c r="A33" s="14" t="str">
        <f>VLOOKUP(Read_First!B5,Items!A1:BI50,59,FALSE)</f>
        <v>Originalité</v>
      </c>
      <c r="B33" s="27">
        <v>-1</v>
      </c>
      <c r="C33" s="28">
        <f t="shared" si="1"/>
        <v>0.16</v>
      </c>
      <c r="D33" s="28">
        <f t="shared" si="2"/>
        <v>0.53999999999999992</v>
      </c>
      <c r="E33" s="28">
        <f t="shared" si="3"/>
        <v>0.42000000000000015</v>
      </c>
      <c r="F33" s="28">
        <f t="shared" si="4"/>
        <v>0.48</v>
      </c>
      <c r="G33" s="28">
        <f t="shared" si="5"/>
        <v>0.89999999999999991</v>
      </c>
      <c r="H33" s="50">
        <f>Results!L8</f>
        <v>0.88888888888888884</v>
      </c>
    </row>
    <row r="35" spans="1:8">
      <c r="A35" s="169" t="s">
        <v>2118</v>
      </c>
      <c r="B35" s="169"/>
      <c r="C35" s="169"/>
      <c r="D35" s="169"/>
      <c r="E35" s="169"/>
    </row>
    <row r="36" spans="1:8">
      <c r="A36" s="13" t="s">
        <v>110</v>
      </c>
      <c r="B36" s="133">
        <v>0.25</v>
      </c>
      <c r="C36" s="133">
        <v>0.5</v>
      </c>
      <c r="D36" s="133">
        <v>0.75</v>
      </c>
      <c r="E36" s="133">
        <v>0.9</v>
      </c>
    </row>
    <row r="37" spans="1:8">
      <c r="A37" s="13" t="str">
        <f>VLOOKUP(Read_First!B5,Items!A1:BI50,54,FALSE)</f>
        <v>Attraction</v>
      </c>
      <c r="B37">
        <v>0.69</v>
      </c>
      <c r="C37">
        <v>1.18</v>
      </c>
      <c r="D37">
        <v>1.58</v>
      </c>
      <c r="E37">
        <v>1.84</v>
      </c>
    </row>
    <row r="38" spans="1:8">
      <c r="A38" s="13" t="str">
        <f>VLOOKUP(Read_First!B5,Items!A1:BI50,55,FALSE)</f>
        <v>Compréhensibilité</v>
      </c>
      <c r="B38">
        <v>0.72</v>
      </c>
      <c r="C38">
        <v>1.2</v>
      </c>
      <c r="D38">
        <v>1.73</v>
      </c>
      <c r="E38">
        <v>2</v>
      </c>
    </row>
    <row r="39" spans="1:8">
      <c r="A39" s="13" t="str">
        <f>VLOOKUP(Read_First!B5,Items!A1:BI50,56,FALSE)</f>
        <v>Efficacité</v>
      </c>
      <c r="B39">
        <v>0.6</v>
      </c>
      <c r="C39">
        <v>1.05</v>
      </c>
      <c r="D39">
        <v>1.5</v>
      </c>
      <c r="E39">
        <v>1.88</v>
      </c>
    </row>
    <row r="40" spans="1:8">
      <c r="A40" s="13" t="str">
        <f>VLOOKUP(Read_First!B5,Items!A1:BI50,57,FALSE)</f>
        <v>Contrôlabilité</v>
      </c>
      <c r="B40">
        <v>0.78</v>
      </c>
      <c r="C40">
        <v>1.1399999999999999</v>
      </c>
      <c r="D40">
        <v>1.48</v>
      </c>
      <c r="E40">
        <v>1.7</v>
      </c>
    </row>
    <row r="41" spans="1:8">
      <c r="A41" s="13" t="str">
        <f>VLOOKUP(Read_First!B5,Items!A1:BI50,58,FALSE)</f>
        <v>Stimulation</v>
      </c>
      <c r="B41">
        <v>0.5</v>
      </c>
      <c r="C41">
        <v>1</v>
      </c>
      <c r="D41">
        <v>1.35</v>
      </c>
      <c r="E41">
        <v>1.7</v>
      </c>
    </row>
    <row r="42" spans="1:8">
      <c r="A42" s="13" t="str">
        <f>VLOOKUP(Read_First!B5,Items!A1:BI50,59,FALSE)</f>
        <v>Originalité</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topLeftCell="K1" workbookViewId="0">
      <selection sqref="A1:AF1"/>
    </sheetView>
  </sheetViews>
  <sheetFormatPr baseColWidth="10" defaultColWidth="9.1640625" defaultRowHeight="15"/>
  <cols>
    <col min="1" max="26" width="3.6640625" style="1" customWidth="1"/>
    <col min="29" max="35" width="13.83203125" style="1" customWidth="1"/>
    <col min="37" max="37" width="18.1640625" style="136" customWidth="1"/>
  </cols>
  <sheetData>
    <row r="1" spans="1:37" ht="170.5" customHeight="1">
      <c r="A1" s="170" t="s">
        <v>2182</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29"/>
      <c r="AH1" s="30"/>
      <c r="AI1" s="1" t="s">
        <v>825</v>
      </c>
    </row>
    <row r="2" spans="1:37">
      <c r="A2" s="149" t="s">
        <v>0</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C2" s="145" t="s">
        <v>823</v>
      </c>
      <c r="AD2" s="145"/>
      <c r="AE2" s="145"/>
      <c r="AF2" s="145"/>
      <c r="AG2" s="145"/>
      <c r="AH2" s="145"/>
      <c r="AI2" s="145"/>
      <c r="AK2" s="135" t="s">
        <v>2180</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Attraction</v>
      </c>
      <c r="AD3" s="98" t="str">
        <f>VLOOKUP(Read_First!B5,Items!A1:BI50,55,FALSE)</f>
        <v>Compréhensibilité</v>
      </c>
      <c r="AE3" s="98" t="str">
        <f>VLOOKUP(Read_First!B5,Items!A1:BI50,56,FALSE)</f>
        <v>Efficacité</v>
      </c>
      <c r="AF3" s="99" t="str">
        <f>VLOOKUP(Read_First!B5,Items!A1:BI50,57,FALSE)</f>
        <v>Contrôlabilité</v>
      </c>
      <c r="AG3" s="99" t="str">
        <f>VLOOKUP(Read_First!B5,Items!A1:BI50,58,FALSE)</f>
        <v>Stimulation</v>
      </c>
      <c r="AH3" s="99" t="str">
        <f>VLOOKUP(Read_First!B5,Items!A1:BI50,59,FALSE)</f>
        <v>Originalité</v>
      </c>
      <c r="AI3" s="111" t="s">
        <v>824</v>
      </c>
      <c r="AK3" s="135" t="s">
        <v>2181</v>
      </c>
    </row>
    <row r="4" spans="1:37">
      <c r="A4" s="54">
        <f>IF(Data!A4&gt;0,Data!A4-4,"")</f>
        <v>2</v>
      </c>
      <c r="B4" s="54">
        <f>IF(Data!B4&gt;0,Data!B4-4,"")</f>
        <v>1</v>
      </c>
      <c r="C4" s="54">
        <f>IF(Data!C4&gt;0,4-Data!C4,"")</f>
        <v>2</v>
      </c>
      <c r="D4" s="54">
        <f>IF(Data!D4&gt;0,4-Data!D4,"")</f>
        <v>-1</v>
      </c>
      <c r="E4" s="54">
        <f>IF(Data!E4&gt;0,4-Data!E4,"")</f>
        <v>3</v>
      </c>
      <c r="F4" s="54">
        <f>IF(Data!F4&gt;0,Data!F4-4,"")</f>
        <v>1</v>
      </c>
      <c r="G4" s="54">
        <f>IF(Data!G4&gt;0,Data!G4-4,"")</f>
        <v>3</v>
      </c>
      <c r="H4" s="54">
        <f>IF(Data!H4&gt;0,Data!H4-4,"")</f>
        <v>3</v>
      </c>
      <c r="I4" s="54">
        <f>IF(Data!I4&gt;0,4-Data!I4,"")</f>
        <v>3</v>
      </c>
      <c r="J4" s="54">
        <f>IF(Data!J4&gt;0,4-Data!J4,"")</f>
        <v>1</v>
      </c>
      <c r="K4" s="54">
        <f>IF(Data!K4&gt;0,Data!K4-4,"")</f>
        <v>2</v>
      </c>
      <c r="L4" s="54">
        <f>IF(Data!L4&gt;0,4-Data!L4,"")</f>
        <v>2</v>
      </c>
      <c r="M4" s="54">
        <f>IF(Data!M4&gt;0,Data!M4-4,"")</f>
        <v>2</v>
      </c>
      <c r="N4" s="54">
        <f>IF(Data!N4&gt;0,Data!N4-4,"")</f>
        <v>1</v>
      </c>
      <c r="O4" s="54">
        <f>IF(Data!O4&gt;0,Data!O4-4,"")</f>
        <v>0</v>
      </c>
      <c r="P4" s="54">
        <f>IF(Data!P4&gt;0,Data!P4-4,"")</f>
        <v>1</v>
      </c>
      <c r="Q4" s="54">
        <f>IF(Data!Q4&gt;0,4-Data!Q4,"")</f>
        <v>1</v>
      </c>
      <c r="R4" s="1">
        <f>IF(Data!R4&gt;0,4-Data!R4,"")</f>
        <v>2</v>
      </c>
      <c r="S4" s="54">
        <f>IF(Data!S4&gt;0,4-Data!S4,"")</f>
        <v>2</v>
      </c>
      <c r="T4" s="54">
        <f>IF(Data!T4&gt;0,Data!T4-4,"")</f>
        <v>2</v>
      </c>
      <c r="U4" s="54">
        <f>IF(Data!U4&gt;0,4-Data!U4,"")</f>
        <v>2</v>
      </c>
      <c r="V4" s="54">
        <f>IF(Data!V4&gt;0,Data!V4-4,"")</f>
        <v>1</v>
      </c>
      <c r="W4" s="54">
        <f>IF(Data!W4&gt;0,4-Data!W4,"")</f>
        <v>3</v>
      </c>
      <c r="X4" s="54">
        <f>IF(Data!X4&gt;0,4-Data!X4,"")</f>
        <v>2</v>
      </c>
      <c r="Y4" s="54">
        <f>IF(Data!Y4&gt;0,4-Data!Y4,"")</f>
        <v>1</v>
      </c>
      <c r="Z4" s="54">
        <f>IF(Data!Z4&gt;0,Data!Z4-4,"")</f>
        <v>1</v>
      </c>
      <c r="AC4" s="59" t="str">
        <f>IF((MAX(A4,L4,N4,P4,X4,Y4)-MIN(A4,L4,N4,P4,X4,Y4))&gt;3,1,"")</f>
        <v/>
      </c>
      <c r="AD4" s="59" t="str">
        <f t="shared" ref="AD4" si="0">IF((MAX(B4,D4,M4,U4)-MIN(B4,D4,M4,U4))&gt;3,1,"")</f>
        <v/>
      </c>
      <c r="AE4" s="59" t="str">
        <f t="shared" ref="AE4" si="1">IF((MAX(I4,T4,V4,W4)-MIN(I4,T4,V4,W4))&gt;3,1,"")</f>
        <v/>
      </c>
      <c r="AF4" s="59" t="str">
        <f t="shared" ref="AF4" si="2">IF((MAX(H4,K4,Q4,S4)-MIN(H4,K4,Q4,S4))&gt;3,1,"")</f>
        <v/>
      </c>
      <c r="AG4" s="59" t="str">
        <f>IF((MAX(E4,F4,G4,R4)-MIN(E4,F4,G4,R4))&gt;3,1,"")</f>
        <v/>
      </c>
      <c r="AH4" s="59" t="str">
        <f t="shared" ref="AH4" si="3">IF((MAX(C4,J4,O4,Z4)-MIN(C4,J4,O4,Z4))&gt;3,1,"")</f>
        <v/>
      </c>
      <c r="AI4" s="57">
        <f>IF(COUNT(A4:Z4)&gt;0,IF(COUNT(AC4,AD4,AE4,AF4,AG4,AH4)&gt;0,SUM(AC4,AD4,AE4,AF4,AG4,AH4),0),"")</f>
        <v>0</v>
      </c>
      <c r="AK4" s="2">
        <f>IF(MAX(COUNTIF(Data!A4:Z4,1),COUNTIF(Data!A4:Z4,2),COUNTIF(Data!A4:Z4,3),COUNTIF(Data!A4:Z4,4),COUNTIF(Data!A4:Z4,5),COUNTIF(Data!A4:Z4,6),COUNTIF(Data!A4:Z4,7))&gt;0,MAX(COUNTIF(Data!A4:Z4,1),COUNTIF(Data!A4:Z4,2),COUNTIF(Data!A4:Z4,3),COUNTIF(Data!A4:Z4,4),COUNTIF(Data!A4:Z4,5),COUNTIF(Data!A4:Z4,6),COUNTIF(Data!A4:Z4,7)),"")</f>
        <v>7</v>
      </c>
    </row>
    <row r="5" spans="1:37">
      <c r="A5" s="1">
        <f>IF(Data!A5&gt;0,Data!A5-4,"")</f>
        <v>3</v>
      </c>
      <c r="B5" s="1">
        <f>IF(Data!B5&gt;0,Data!B5-4,"")</f>
        <v>2</v>
      </c>
      <c r="C5" s="1">
        <f>IF(Data!C5&gt;0,4-Data!C5,"")</f>
        <v>1</v>
      </c>
      <c r="D5" s="1">
        <f>IF(Data!D5&gt;0,4-Data!D5,"")</f>
        <v>2</v>
      </c>
      <c r="E5" s="1">
        <f>IF(Data!E5&gt;0,4-Data!E5,"")</f>
        <v>2</v>
      </c>
      <c r="F5" s="1">
        <f>IF(Data!F5&gt;0,Data!F5-4,"")</f>
        <v>1</v>
      </c>
      <c r="G5" s="1">
        <f>IF(Data!G5&gt;0,Data!G5-4,"")</f>
        <v>1</v>
      </c>
      <c r="H5" s="1">
        <f>IF(Data!H5&gt;0,Data!H5-4,"")</f>
        <v>1</v>
      </c>
      <c r="I5" s="1">
        <f>IF(Data!I5&gt;0,4-Data!I5,"")</f>
        <v>2</v>
      </c>
      <c r="J5" s="1">
        <f>IF(Data!J5&gt;0,4-Data!J5,"")</f>
        <v>1</v>
      </c>
      <c r="K5" s="1">
        <f>IF(Data!K5&gt;0,Data!K5-4,"")</f>
        <v>1</v>
      </c>
      <c r="L5" s="1">
        <f>IF(Data!L5&gt;0,4-Data!L5,"")</f>
        <v>2</v>
      </c>
      <c r="M5" s="1">
        <f>IF(Data!M5&gt;0,Data!M5-4,"")</f>
        <v>2</v>
      </c>
      <c r="N5" s="1">
        <f>IF(Data!N5&gt;0,Data!N5-4,"")</f>
        <v>2</v>
      </c>
      <c r="O5" s="1">
        <f>IF(Data!O5&gt;0,Data!O5-4,"")</f>
        <v>1</v>
      </c>
      <c r="P5" s="1">
        <f>IF(Data!P5&gt;0,Data!P5-4,"")</f>
        <v>2</v>
      </c>
      <c r="Q5" s="1">
        <f>IF(Data!Q5&gt;0,4-Data!Q5,"")</f>
        <v>1</v>
      </c>
      <c r="R5" s="1">
        <f>IF(Data!R5&gt;0,4-Data!R5,"")</f>
        <v>2</v>
      </c>
      <c r="S5" s="1">
        <f>IF(Data!S5&gt;0,4-Data!S5,"")</f>
        <v>1</v>
      </c>
      <c r="T5" s="1">
        <f>IF(Data!T5&gt;0,Data!T5-4,"")</f>
        <v>1</v>
      </c>
      <c r="U5" s="1">
        <f>IF(Data!U5&gt;0,4-Data!U5,"")</f>
        <v>2</v>
      </c>
      <c r="V5" s="1">
        <f>IF(Data!V5&gt;0,Data!V5-4,"")</f>
        <v>2</v>
      </c>
      <c r="W5" s="1">
        <f>IF(Data!W5&gt;0,4-Data!W5,"")</f>
        <v>2</v>
      </c>
      <c r="X5" s="1">
        <f>IF(Data!X5&gt;0,4-Data!X5,"")</f>
        <v>2</v>
      </c>
      <c r="Y5" s="1">
        <f>IF(Data!Y5&gt;0,4-Data!Y5,"")</f>
        <v>2</v>
      </c>
      <c r="Z5" s="1">
        <f>IF(Data!Z5&gt;0,Data!Z5-4,"")</f>
        <v>1</v>
      </c>
      <c r="AC5" s="4" t="str">
        <f t="shared" ref="AC5:AC13" si="4">IF((MAX(A5,L5,N5,P5,X5,Y5)-MIN(A5,L5,N5,P5,X5,Y5))&gt;3,1,"")</f>
        <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t="str">
        <f t="shared" ref="AH5:AH13" si="9">IF((MAX(C5,J5,O5,Z5)-MIN(C5,J5,O5,Z5))&gt;3,1,"")</f>
        <v/>
      </c>
      <c r="AI5" s="2">
        <f t="shared" ref="AI5:AI68" si="10">IF(COUNT(A5:Z5)&gt;0,IF(COUNT(AC5,AD5,AE5,AF5,AG5,AH5)&gt;0,SUM(AC5,AD5,AE5,AF5,AG5,AH5),0),"")</f>
        <v>0</v>
      </c>
      <c r="AK5" s="2">
        <f>IF(MAX(COUNTIF(Data!A5:Z5,1),COUNTIF(Data!A5:Z5,2),COUNTIF(Data!A5:Z5,3),COUNTIF(Data!A5:Z5,4),COUNTIF(Data!A5:Z5,5),COUNTIF(Data!A5:Z5,6),COUNTIF(Data!A5:Z5,7))&gt;0,MAX(COUNTIF(Data!A5:Z5,1),COUNTIF(Data!A5:Z5,2),COUNTIF(Data!A5:Z5,3),COUNTIF(Data!A5:Z5,4),COUNTIF(Data!A5:Z5,5),COUNTIF(Data!A5:Z5,6),COUNTIF(Data!A5:Z5,7)),"")</f>
        <v>9</v>
      </c>
    </row>
    <row r="6" spans="1:37">
      <c r="A6" s="1">
        <f>IF(Data!A6&gt;0,Data!A6-4,"")</f>
        <v>1</v>
      </c>
      <c r="B6" s="1">
        <f>IF(Data!B6&gt;0,Data!B6-4,"")</f>
        <v>1</v>
      </c>
      <c r="C6" s="1">
        <f>IF(Data!C6&gt;0,4-Data!C6,"")</f>
        <v>1</v>
      </c>
      <c r="D6" s="1">
        <f>IF(Data!D6&gt;0,4-Data!D6,"")</f>
        <v>3</v>
      </c>
      <c r="E6" s="1">
        <f>IF(Data!E6&gt;0,4-Data!E6,"")</f>
        <v>2</v>
      </c>
      <c r="F6" s="1">
        <f>IF(Data!F6&gt;0,Data!F6-4,"")</f>
        <v>2</v>
      </c>
      <c r="G6" s="1">
        <f>IF(Data!G6&gt;0,Data!G6-4,"")</f>
        <v>2</v>
      </c>
      <c r="H6" s="1">
        <f>IF(Data!H6&gt;0,Data!H6-4,"")</f>
        <v>-1</v>
      </c>
      <c r="I6" s="1">
        <f>IF(Data!I6&gt;0,4-Data!I6,"")</f>
        <v>-2</v>
      </c>
      <c r="J6" s="1">
        <f>IF(Data!J6&gt;0,4-Data!J6,"")</f>
        <v>1</v>
      </c>
      <c r="K6" s="1">
        <f>IF(Data!K6&gt;0,Data!K6-4,"")</f>
        <v>3</v>
      </c>
      <c r="L6" s="1">
        <f>IF(Data!L6&gt;0,4-Data!L6,"")</f>
        <v>2</v>
      </c>
      <c r="M6" s="1">
        <f>IF(Data!M6&gt;0,Data!M6-4,"")</f>
        <v>2</v>
      </c>
      <c r="N6" s="1">
        <f>IF(Data!N6&gt;0,Data!N6-4,"")</f>
        <v>2</v>
      </c>
      <c r="O6" s="1">
        <f>IF(Data!O6&gt;0,Data!O6-4,"")</f>
        <v>1</v>
      </c>
      <c r="P6" s="1">
        <f>IF(Data!P6&gt;0,Data!P6-4,"")</f>
        <v>2</v>
      </c>
      <c r="Q6" s="1">
        <f>IF(Data!Q6&gt;0,4-Data!Q6,"")</f>
        <v>0</v>
      </c>
      <c r="R6" s="1">
        <f>IF(Data!R6&gt;0,4-Data!R6,"")</f>
        <v>2</v>
      </c>
      <c r="S6" s="1">
        <f>IF(Data!S6&gt;0,4-Data!S6,"")</f>
        <v>2</v>
      </c>
      <c r="T6" s="1">
        <f>IF(Data!T6&gt;0,Data!T6-4,"")</f>
        <v>1</v>
      </c>
      <c r="U6" s="1">
        <f>IF(Data!U6&gt;0,4-Data!U6,"")</f>
        <v>1</v>
      </c>
      <c r="V6" s="1">
        <f>IF(Data!V6&gt;0,Data!V6-4,"")</f>
        <v>1</v>
      </c>
      <c r="W6" s="1">
        <f>IF(Data!W6&gt;0,4-Data!W6,"")</f>
        <v>3</v>
      </c>
      <c r="X6" s="1">
        <f>IF(Data!X6&gt;0,4-Data!X6,"")</f>
        <v>2</v>
      </c>
      <c r="Y6" s="1">
        <f>IF(Data!Y6&gt;0,4-Data!Y6,"")</f>
        <v>1</v>
      </c>
      <c r="Z6" s="1">
        <f>IF(Data!Z6&gt;0,Data!Z6-4,"")</f>
        <v>1</v>
      </c>
      <c r="AC6" s="4" t="str">
        <f t="shared" si="4"/>
        <v/>
      </c>
      <c r="AD6" s="4" t="str">
        <f t="shared" si="5"/>
        <v/>
      </c>
      <c r="AE6" s="4">
        <f t="shared" si="6"/>
        <v>1</v>
      </c>
      <c r="AF6" s="4">
        <f t="shared" si="7"/>
        <v>1</v>
      </c>
      <c r="AG6" s="4" t="str">
        <f t="shared" si="8"/>
        <v/>
      </c>
      <c r="AH6" s="4" t="str">
        <f t="shared" si="9"/>
        <v/>
      </c>
      <c r="AI6" s="2">
        <f t="shared" si="10"/>
        <v>2</v>
      </c>
      <c r="AK6" s="2">
        <f>IF(MAX(COUNTIF(Data!A6:Z6,1),COUNTIF(Data!A6:Z6,2),COUNTIF(Data!A6:Z6,3),COUNTIF(Data!A6:Z6,4),COUNTIF(Data!A6:Z6,5),COUNTIF(Data!A6:Z6,6),COUNTIF(Data!A6:Z6,7))&gt;0,MAX(COUNTIF(Data!A6:Z6,1),COUNTIF(Data!A6:Z6,2),COUNTIF(Data!A6:Z6,3),COUNTIF(Data!A6:Z6,4),COUNTIF(Data!A6:Z6,5),COUNTIF(Data!A6:Z6,6),COUNTIF(Data!A6:Z6,7)),"")</f>
        <v>6</v>
      </c>
    </row>
    <row r="7" spans="1:37">
      <c r="A7" s="1">
        <f>IF(Data!A7&gt;0,Data!A7-4,"")</f>
        <v>3</v>
      </c>
      <c r="B7" s="1">
        <f>IF(Data!B7&gt;0,Data!B7-4,"")</f>
        <v>1</v>
      </c>
      <c r="C7" s="1">
        <f>IF(Data!C7&gt;0,4-Data!C7,"")</f>
        <v>1</v>
      </c>
      <c r="D7" s="1">
        <f>IF(Data!D7&gt;0,4-Data!D7,"")</f>
        <v>3</v>
      </c>
      <c r="E7" s="1">
        <f>IF(Data!E7&gt;0,4-Data!E7,"")</f>
        <v>3</v>
      </c>
      <c r="F7" s="1">
        <f>IF(Data!F7&gt;0,Data!F7-4,"")</f>
        <v>1</v>
      </c>
      <c r="G7" s="1">
        <f>IF(Data!G7&gt;0,Data!G7-4,"")</f>
        <v>2</v>
      </c>
      <c r="H7" s="1">
        <f>IF(Data!H7&gt;0,Data!H7-4,"")</f>
        <v>3</v>
      </c>
      <c r="I7" s="1">
        <f>IF(Data!I7&gt;0,4-Data!I7,"")</f>
        <v>-3</v>
      </c>
      <c r="J7" s="1">
        <f>IF(Data!J7&gt;0,4-Data!J7,"")</f>
        <v>0</v>
      </c>
      <c r="K7" s="1">
        <f>IF(Data!K7&gt;0,Data!K7-4,"")</f>
        <v>3</v>
      </c>
      <c r="L7" s="1">
        <f>IF(Data!L7&gt;0,4-Data!L7,"")</f>
        <v>3</v>
      </c>
      <c r="M7" s="1">
        <f>IF(Data!M7&gt;0,Data!M7-4,"")</f>
        <v>3</v>
      </c>
      <c r="N7" s="1">
        <f>IF(Data!N7&gt;0,Data!N7-4,"")</f>
        <v>3</v>
      </c>
      <c r="O7" s="1">
        <f>IF(Data!O7&gt;0,Data!O7-4,"")</f>
        <v>0</v>
      </c>
      <c r="P7" s="1">
        <f>IF(Data!P7&gt;0,Data!P7-4,"")</f>
        <v>2</v>
      </c>
      <c r="Q7" s="1">
        <f>IF(Data!Q7&gt;0,4-Data!Q7,"")</f>
        <v>2</v>
      </c>
      <c r="R7" s="1">
        <f>IF(Data!R7&gt;0,4-Data!R7,"")</f>
        <v>0</v>
      </c>
      <c r="S7" s="1">
        <f>IF(Data!S7&gt;0,4-Data!S7,"")</f>
        <v>3</v>
      </c>
      <c r="T7" s="1">
        <f>IF(Data!T7&gt;0,Data!T7-4,"")</f>
        <v>3</v>
      </c>
      <c r="U7" s="1">
        <f>IF(Data!U7&gt;0,4-Data!U7,"")</f>
        <v>3</v>
      </c>
      <c r="V7" s="1">
        <f>IF(Data!V7&gt;0,Data!V7-4,"")</f>
        <v>3</v>
      </c>
      <c r="W7" s="1">
        <f>IF(Data!W7&gt;0,4-Data!W7,"")</f>
        <v>3</v>
      </c>
      <c r="X7" s="1">
        <f>IF(Data!X7&gt;0,4-Data!X7,"")</f>
        <v>2</v>
      </c>
      <c r="Y7" s="1">
        <f>IF(Data!Y7&gt;0,4-Data!Y7,"")</f>
        <v>3</v>
      </c>
      <c r="Z7" s="1">
        <f>IF(Data!Z7&gt;0,Data!Z7-4,"")</f>
        <v>2</v>
      </c>
      <c r="AC7" s="4" t="str">
        <f t="shared" si="4"/>
        <v/>
      </c>
      <c r="AD7" s="4" t="str">
        <f t="shared" si="5"/>
        <v/>
      </c>
      <c r="AE7" s="4">
        <f t="shared" si="6"/>
        <v>1</v>
      </c>
      <c r="AF7" s="4" t="str">
        <f t="shared" si="7"/>
        <v/>
      </c>
      <c r="AG7" s="4" t="str">
        <f t="shared" si="8"/>
        <v/>
      </c>
      <c r="AH7" s="4" t="str">
        <f t="shared" si="9"/>
        <v/>
      </c>
      <c r="AI7" s="2">
        <f t="shared" si="10"/>
        <v>1</v>
      </c>
      <c r="AK7" s="2">
        <f>IF(MAX(COUNTIF(Data!A7:Z7,1),COUNTIF(Data!A7:Z7,2),COUNTIF(Data!A7:Z7,3),COUNTIF(Data!A7:Z7,4),COUNTIF(Data!A7:Z7,5),COUNTIF(Data!A7:Z7,6),COUNTIF(Data!A7:Z7,7))&gt;0,MAX(COUNTIF(Data!A7:Z7,1),COUNTIF(Data!A7:Z7,2),COUNTIF(Data!A7:Z7,3),COUNTIF(Data!A7:Z7,4),COUNTIF(Data!A7:Z7,5),COUNTIF(Data!A7:Z7,6),COUNTIF(Data!A7:Z7,7)),"")</f>
        <v>8</v>
      </c>
    </row>
    <row r="8" spans="1:37">
      <c r="A8" s="1">
        <f>IF(Data!A8&gt;0,Data!A8-4,"")</f>
        <v>2</v>
      </c>
      <c r="B8" s="1">
        <f>IF(Data!B8&gt;0,Data!B8-4,"")</f>
        <v>2</v>
      </c>
      <c r="C8" s="1">
        <f>IF(Data!C8&gt;0,4-Data!C8,"")</f>
        <v>-1</v>
      </c>
      <c r="D8" s="1">
        <f>IF(Data!D8&gt;0,4-Data!D8,"")</f>
        <v>3</v>
      </c>
      <c r="E8" s="1">
        <f>IF(Data!E8&gt;0,4-Data!E8,"")</f>
        <v>2</v>
      </c>
      <c r="F8" s="1">
        <f>IF(Data!F8&gt;0,Data!F8-4,"")</f>
        <v>2</v>
      </c>
      <c r="G8" s="1">
        <f>IF(Data!G8&gt;0,Data!G8-4,"")</f>
        <v>2</v>
      </c>
      <c r="H8" s="1">
        <f>IF(Data!H8&gt;0,Data!H8-4,"")</f>
        <v>0</v>
      </c>
      <c r="I8" s="1">
        <f>IF(Data!I8&gt;0,4-Data!I8,"")</f>
        <v>2</v>
      </c>
      <c r="J8" s="1">
        <f>IF(Data!J8&gt;0,4-Data!J8,"")</f>
        <v>1</v>
      </c>
      <c r="K8" s="1">
        <f>IF(Data!K8&gt;0,Data!K8-4,"")</f>
        <v>2</v>
      </c>
      <c r="L8" s="1">
        <f>IF(Data!L8&gt;0,4-Data!L8,"")</f>
        <v>2</v>
      </c>
      <c r="M8" s="1">
        <f>IF(Data!M8&gt;0,Data!M8-4,"")</f>
        <v>3</v>
      </c>
      <c r="N8" s="1">
        <f>IF(Data!N8&gt;0,Data!N8-4,"")</f>
        <v>2</v>
      </c>
      <c r="O8" s="1">
        <f>IF(Data!O8&gt;0,Data!O8-4,"")</f>
        <v>0</v>
      </c>
      <c r="P8" s="1">
        <f>IF(Data!P8&gt;0,Data!P8-4,"")</f>
        <v>1</v>
      </c>
      <c r="Q8" s="1">
        <f>IF(Data!Q8&gt;0,4-Data!Q8,"")</f>
        <v>2</v>
      </c>
      <c r="R8" s="1">
        <f>IF(Data!R8&gt;0,4-Data!R8,"")</f>
        <v>2</v>
      </c>
      <c r="S8" s="1">
        <f>IF(Data!S8&gt;0,4-Data!S8,"")</f>
        <v>1</v>
      </c>
      <c r="T8" s="1">
        <f>IF(Data!T8&gt;0,Data!T8-4,"")</f>
        <v>1</v>
      </c>
      <c r="U8" s="1">
        <f>IF(Data!U8&gt;0,4-Data!U8,"")</f>
        <v>3</v>
      </c>
      <c r="V8" s="1">
        <f>IF(Data!V8&gt;0,Data!V8-4,"")</f>
        <v>1</v>
      </c>
      <c r="W8" s="1">
        <f>IF(Data!W8&gt;0,4-Data!W8,"")</f>
        <v>2</v>
      </c>
      <c r="X8" s="1">
        <f>IF(Data!X8&gt;0,4-Data!X8,"")</f>
        <v>3</v>
      </c>
      <c r="Y8" s="1">
        <f>IF(Data!Y8&gt;0,4-Data!Y8,"")</f>
        <v>3</v>
      </c>
      <c r="Z8" s="1">
        <f>IF(Data!Z8&gt;0,Data!Z8-4,"")</f>
        <v>0</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6</v>
      </c>
    </row>
    <row r="9" spans="1:37">
      <c r="A9" s="1">
        <f>IF(Data!A9&gt;0,Data!A9-4,"")</f>
        <v>3</v>
      </c>
      <c r="B9" s="1">
        <f>IF(Data!B9&gt;0,Data!B9-4,"")</f>
        <v>1</v>
      </c>
      <c r="C9" s="1">
        <f>IF(Data!C9&gt;0,4-Data!C9,"")</f>
        <v>0</v>
      </c>
      <c r="D9" s="1">
        <f>IF(Data!D9&gt;0,4-Data!D9,"")</f>
        <v>3</v>
      </c>
      <c r="E9" s="1">
        <f>IF(Data!E9&gt;0,4-Data!E9,"")</f>
        <v>2</v>
      </c>
      <c r="F9" s="1">
        <f>IF(Data!F9&gt;0,Data!F9-4,"")</f>
        <v>0</v>
      </c>
      <c r="G9" s="1">
        <f>IF(Data!G9&gt;0,Data!G9-4,"")</f>
        <v>2</v>
      </c>
      <c r="H9" s="1">
        <f>IF(Data!H9&gt;0,Data!H9-4,"")</f>
        <v>1</v>
      </c>
      <c r="I9" s="1">
        <f>IF(Data!I9&gt;0,4-Data!I9,"")</f>
        <v>3</v>
      </c>
      <c r="J9" s="1">
        <f>IF(Data!J9&gt;0,4-Data!J9,"")</f>
        <v>2</v>
      </c>
      <c r="K9" s="1">
        <f>IF(Data!K9&gt;0,Data!K9-4,"")</f>
        <v>2</v>
      </c>
      <c r="L9" s="1">
        <f>IF(Data!L9&gt;0,4-Data!L9,"")</f>
        <v>3</v>
      </c>
      <c r="M9" s="1">
        <f>IF(Data!M9&gt;0,Data!M9-4,"")</f>
        <v>2</v>
      </c>
      <c r="N9" s="1">
        <f>IF(Data!N9&gt;0,Data!N9-4,"")</f>
        <v>3</v>
      </c>
      <c r="O9" s="1">
        <f>IF(Data!O9&gt;0,Data!O9-4,"")</f>
        <v>2</v>
      </c>
      <c r="P9" s="1">
        <f>IF(Data!P9&gt;0,Data!P9-4,"")</f>
        <v>2</v>
      </c>
      <c r="Q9" s="1">
        <f>IF(Data!Q9&gt;0,4-Data!Q9,"")</f>
        <v>0</v>
      </c>
      <c r="R9" s="1">
        <f>IF(Data!R9&gt;0,4-Data!R9,"")</f>
        <v>1</v>
      </c>
      <c r="S9" s="1">
        <f>IF(Data!S9&gt;0,4-Data!S9,"")</f>
        <v>2</v>
      </c>
      <c r="T9" s="1">
        <f>IF(Data!T9&gt;0,Data!T9-4,"")</f>
        <v>1</v>
      </c>
      <c r="U9" s="1">
        <f>IF(Data!U9&gt;0,4-Data!U9,"")</f>
        <v>3</v>
      </c>
      <c r="V9" s="1">
        <f>IF(Data!V9&gt;0,Data!V9-4,"")</f>
        <v>3</v>
      </c>
      <c r="W9" s="1">
        <f>IF(Data!W9&gt;0,4-Data!W9,"")</f>
        <v>2</v>
      </c>
      <c r="X9" s="1">
        <f>IF(Data!X9&gt;0,4-Data!X9,"")</f>
        <v>2</v>
      </c>
      <c r="Y9" s="1">
        <f>IF(Data!Y9&gt;0,4-Data!Y9,"")</f>
        <v>3</v>
      </c>
      <c r="Z9" s="1">
        <f>IF(Data!Z9&gt;0,Data!Z9-4,"")</f>
        <v>2</v>
      </c>
      <c r="AC9" s="4" t="str">
        <f t="shared" si="4"/>
        <v/>
      </c>
      <c r="AD9" s="4" t="str">
        <f t="shared" si="5"/>
        <v/>
      </c>
      <c r="AE9" s="4" t="str">
        <f t="shared" si="6"/>
        <v/>
      </c>
      <c r="AF9" s="4" t="str">
        <f t="shared" si="7"/>
        <v/>
      </c>
      <c r="AG9" s="4" t="str">
        <f t="shared" si="8"/>
        <v/>
      </c>
      <c r="AH9" s="4" t="str">
        <f t="shared" si="9"/>
        <v/>
      </c>
      <c r="AI9" s="2">
        <f t="shared" si="10"/>
        <v>0</v>
      </c>
      <c r="AK9" s="2">
        <f>IF(MAX(COUNTIF(Data!A9:Z9,1),COUNTIF(Data!A9:Z9,2),COUNTIF(Data!A9:Z9,3),COUNTIF(Data!A9:Z9,4),COUNTIF(Data!A9:Z9,5),COUNTIF(Data!A9:Z9,6),COUNTIF(Data!A9:Z9,7))&gt;0,MAX(COUNTIF(Data!A9:Z9,1),COUNTIF(Data!A9:Z9,2),COUNTIF(Data!A9:Z9,3),COUNTIF(Data!A9:Z9,4),COUNTIF(Data!A9:Z9,5),COUNTIF(Data!A9:Z9,6),COUNTIF(Data!A9:Z9,7)),"")</f>
        <v>6</v>
      </c>
    </row>
    <row r="10" spans="1:37">
      <c r="A10" s="1">
        <f>IF(Data!A10&gt;0,Data!A10-4,"")</f>
        <v>1</v>
      </c>
      <c r="B10" s="1">
        <f>IF(Data!B10&gt;0,Data!B10-4,"")</f>
        <v>2</v>
      </c>
      <c r="C10" s="1">
        <f>IF(Data!C10&gt;0,4-Data!C10,"")</f>
        <v>0</v>
      </c>
      <c r="D10" s="1">
        <f>IF(Data!D10&gt;0,4-Data!D10,"")</f>
        <v>1</v>
      </c>
      <c r="E10" s="1">
        <f>IF(Data!E10&gt;0,4-Data!E10,"")</f>
        <v>1</v>
      </c>
      <c r="F10" s="1">
        <f>IF(Data!F10&gt;0,Data!F10-4,"")</f>
        <v>0</v>
      </c>
      <c r="G10" s="1">
        <f>IF(Data!G10&gt;0,Data!G10-4,"")</f>
        <v>1</v>
      </c>
      <c r="H10" s="1">
        <f>IF(Data!H10&gt;0,Data!H10-4,"")</f>
        <v>0</v>
      </c>
      <c r="I10" s="1">
        <f>IF(Data!I10&gt;0,4-Data!I10,"")</f>
        <v>2</v>
      </c>
      <c r="J10" s="1">
        <f>IF(Data!J10&gt;0,4-Data!J10,"")</f>
        <v>1</v>
      </c>
      <c r="K10" s="1">
        <f>IF(Data!K10&gt;0,Data!K10-4,"")</f>
        <v>1</v>
      </c>
      <c r="L10" s="1">
        <f>IF(Data!L10&gt;0,4-Data!L10,"")</f>
        <v>1</v>
      </c>
      <c r="M10" s="1">
        <f>IF(Data!M10&gt;0,Data!M10-4,"")</f>
        <v>1</v>
      </c>
      <c r="N10" s="1">
        <f>IF(Data!N10&gt;0,Data!N10-4,"")</f>
        <v>0</v>
      </c>
      <c r="O10" s="1">
        <f>IF(Data!O10&gt;0,Data!O10-4,"")</f>
        <v>1</v>
      </c>
      <c r="P10" s="1">
        <f>IF(Data!P10&gt;0,Data!P10-4,"")</f>
        <v>2</v>
      </c>
      <c r="Q10" s="1">
        <f>IF(Data!Q10&gt;0,4-Data!Q10,"")</f>
        <v>0</v>
      </c>
      <c r="R10" s="1">
        <f>IF(Data!R10&gt;0,4-Data!R10,"")</f>
        <v>0</v>
      </c>
      <c r="S10" s="1">
        <f>IF(Data!S10&gt;0,4-Data!S10,"")</f>
        <v>1</v>
      </c>
      <c r="T10" s="1">
        <f>IF(Data!T10&gt;0,Data!T10-4,"")</f>
        <v>1</v>
      </c>
      <c r="U10" s="1">
        <f>IF(Data!U10&gt;0,4-Data!U10,"")</f>
        <v>2</v>
      </c>
      <c r="V10" s="1">
        <f>IF(Data!V10&gt;0,Data!V10-4,"")</f>
        <v>1</v>
      </c>
      <c r="W10" s="1">
        <f>IF(Data!W10&gt;0,4-Data!W10,"")</f>
        <v>2</v>
      </c>
      <c r="X10" s="1">
        <f>IF(Data!X10&gt;0,4-Data!X10,"")</f>
        <v>1</v>
      </c>
      <c r="Y10" s="1">
        <f>IF(Data!Y10&gt;0,4-Data!Y10,"")</f>
        <v>0</v>
      </c>
      <c r="Z10" s="1">
        <f>IF(Data!Z10&gt;0,Data!Z10-4,"")</f>
        <v>1</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8</v>
      </c>
    </row>
    <row r="11" spans="1:37">
      <c r="A11" s="1">
        <f>IF(Data!A11&gt;0,Data!A11-4,"")</f>
        <v>2</v>
      </c>
      <c r="B11" s="1">
        <f>IF(Data!B11&gt;0,Data!B11-4,"")</f>
        <v>1</v>
      </c>
      <c r="C11" s="1">
        <f>IF(Data!C11&gt;0,4-Data!C11,"")</f>
        <v>1</v>
      </c>
      <c r="D11" s="1">
        <f>IF(Data!D11&gt;0,4-Data!D11,"")</f>
        <v>2</v>
      </c>
      <c r="E11" s="1">
        <f>IF(Data!E11&gt;0,4-Data!E11,"")</f>
        <v>1</v>
      </c>
      <c r="F11" s="1">
        <f>IF(Data!F11&gt;0,Data!F11-4,"")</f>
        <v>0</v>
      </c>
      <c r="G11" s="1">
        <f>IF(Data!G11&gt;0,Data!G11-4,"")</f>
        <v>1</v>
      </c>
      <c r="H11" s="1">
        <f>IF(Data!H11&gt;0,Data!H11-4,"")</f>
        <v>2</v>
      </c>
      <c r="I11" s="1">
        <f>IF(Data!I11&gt;0,4-Data!I11,"")</f>
        <v>3</v>
      </c>
      <c r="J11" s="1">
        <f>IF(Data!J11&gt;0,4-Data!J11,"")</f>
        <v>0</v>
      </c>
      <c r="K11" s="1">
        <f>IF(Data!K11&gt;0,Data!K11-4,"")</f>
        <v>1</v>
      </c>
      <c r="L11" s="1">
        <f>IF(Data!L11&gt;0,4-Data!L11,"")</f>
        <v>1</v>
      </c>
      <c r="M11" s="1">
        <f>IF(Data!M11&gt;0,Data!M11-4,"")</f>
        <v>3</v>
      </c>
      <c r="N11" s="1">
        <f>IF(Data!N11&gt;0,Data!N11-4,"")</f>
        <v>3</v>
      </c>
      <c r="O11" s="1">
        <f>IF(Data!O11&gt;0,Data!O11-4,"")</f>
        <v>0</v>
      </c>
      <c r="P11" s="1">
        <f>IF(Data!P11&gt;0,Data!P11-4,"")</f>
        <v>2</v>
      </c>
      <c r="Q11" s="1">
        <f>IF(Data!Q11&gt;0,4-Data!Q11,"")</f>
        <v>0</v>
      </c>
      <c r="R11" s="1">
        <f>IF(Data!R11&gt;0,4-Data!R11,"")</f>
        <v>1</v>
      </c>
      <c r="S11" s="1">
        <f>IF(Data!S11&gt;0,4-Data!S11,"")</f>
        <v>-1</v>
      </c>
      <c r="T11" s="1">
        <f>IF(Data!T11&gt;0,Data!T11-4,"")</f>
        <v>2</v>
      </c>
      <c r="U11" s="1">
        <f>IF(Data!U11&gt;0,4-Data!U11,"")</f>
        <v>2</v>
      </c>
      <c r="V11" s="1">
        <f>IF(Data!V11&gt;0,Data!V11-4,"")</f>
        <v>3</v>
      </c>
      <c r="W11" s="1">
        <f>IF(Data!W11&gt;0,4-Data!W11,"")</f>
        <v>3</v>
      </c>
      <c r="X11" s="1">
        <f>IF(Data!X11&gt;0,4-Data!X11,"")</f>
        <v>3</v>
      </c>
      <c r="Y11" s="1">
        <f>IF(Data!Y11&gt;0,4-Data!Y11,"")</f>
        <v>-1</v>
      </c>
      <c r="Z11" s="1">
        <f>IF(Data!Z11&gt;0,Data!Z11-4,"")</f>
        <v>2</v>
      </c>
      <c r="AC11" s="4">
        <f t="shared" si="4"/>
        <v>1</v>
      </c>
      <c r="AD11" s="4" t="str">
        <f t="shared" si="5"/>
        <v/>
      </c>
      <c r="AE11" s="4" t="str">
        <f t="shared" si="6"/>
        <v/>
      </c>
      <c r="AF11" s="4" t="str">
        <f t="shared" si="7"/>
        <v/>
      </c>
      <c r="AG11" s="4" t="str">
        <f t="shared" si="8"/>
        <v/>
      </c>
      <c r="AH11" s="4" t="str">
        <f t="shared" si="9"/>
        <v/>
      </c>
      <c r="AI11" s="2">
        <f t="shared" si="10"/>
        <v>1</v>
      </c>
      <c r="AK11" s="2">
        <f>IF(MAX(COUNTIF(Data!A11:Z11,1),COUNTIF(Data!A11:Z11,2),COUNTIF(Data!A11:Z11,3),COUNTIF(Data!A11:Z11,4),COUNTIF(Data!A11:Z11,5),COUNTIF(Data!A11:Z11,6),COUNTIF(Data!A11:Z11,7))&gt;0,MAX(COUNTIF(Data!A11:Z11,1),COUNTIF(Data!A11:Z11,2),COUNTIF(Data!A11:Z11,3),COUNTIF(Data!A11:Z11,4),COUNTIF(Data!A11:Z11,5),COUNTIF(Data!A11:Z11,6),COUNTIF(Data!A11:Z11,7)),"")</f>
        <v>5</v>
      </c>
    </row>
    <row r="12" spans="1:37">
      <c r="A12" s="1">
        <f>IF(Data!A12&gt;0,Data!A12-4,"")</f>
        <v>2</v>
      </c>
      <c r="B12" s="1">
        <f>IF(Data!B12&gt;0,Data!B12-4,"")</f>
        <v>2</v>
      </c>
      <c r="C12" s="1">
        <f>IF(Data!C12&gt;0,4-Data!C12,"")</f>
        <v>-2</v>
      </c>
      <c r="D12" s="1">
        <f>IF(Data!D12&gt;0,4-Data!D12,"")</f>
        <v>2</v>
      </c>
      <c r="E12" s="1">
        <f>IF(Data!E12&gt;0,4-Data!E12,"")</f>
        <v>3</v>
      </c>
      <c r="F12" s="1">
        <f>IF(Data!F12&gt;0,Data!F12-4,"")</f>
        <v>0</v>
      </c>
      <c r="G12" s="1">
        <f>IF(Data!G12&gt;0,Data!G12-4,"")</f>
        <v>1</v>
      </c>
      <c r="H12" s="1">
        <f>IF(Data!H12&gt;0,Data!H12-4,"")</f>
        <v>3</v>
      </c>
      <c r="I12" s="1">
        <f>IF(Data!I12&gt;0,4-Data!I12,"")</f>
        <v>2</v>
      </c>
      <c r="J12" s="1">
        <f>IF(Data!J12&gt;0,4-Data!J12,"")</f>
        <v>2</v>
      </c>
      <c r="K12" s="1">
        <f>IF(Data!K12&gt;0,Data!K12-4,"")</f>
        <v>3</v>
      </c>
      <c r="L12" s="1">
        <f>IF(Data!L12&gt;0,4-Data!L12,"")</f>
        <v>3</v>
      </c>
      <c r="M12" s="1">
        <f>IF(Data!M12&gt;0,Data!M12-4,"")</f>
        <v>3</v>
      </c>
      <c r="N12" s="1">
        <f>IF(Data!N12&gt;0,Data!N12-4,"")</f>
        <v>1</v>
      </c>
      <c r="O12" s="1">
        <f>IF(Data!O12&gt;0,Data!O12-4,"")</f>
        <v>3</v>
      </c>
      <c r="P12" s="1">
        <f>IF(Data!P12&gt;0,Data!P12-4,"")</f>
        <v>1</v>
      </c>
      <c r="Q12" s="1">
        <f>IF(Data!Q12&gt;0,4-Data!Q12,"")</f>
        <v>2</v>
      </c>
      <c r="R12" s="1">
        <f>IF(Data!R12&gt;0,4-Data!R12,"")</f>
        <v>2</v>
      </c>
      <c r="S12" s="1">
        <f>IF(Data!S12&gt;0,4-Data!S12,"")</f>
        <v>3</v>
      </c>
      <c r="T12" s="1">
        <f>IF(Data!T12&gt;0,Data!T12-4,"")</f>
        <v>3</v>
      </c>
      <c r="U12" s="1">
        <f>IF(Data!U12&gt;0,4-Data!U12,"")</f>
        <v>2</v>
      </c>
      <c r="V12" s="1">
        <f>IF(Data!V12&gt;0,Data!V12-4,"")</f>
        <v>2</v>
      </c>
      <c r="W12" s="1">
        <f>IF(Data!W12&gt;0,4-Data!W12,"")</f>
        <v>3</v>
      </c>
      <c r="X12" s="1">
        <f>IF(Data!X12&gt;0,4-Data!X12,"")</f>
        <v>1</v>
      </c>
      <c r="Y12" s="1">
        <f>IF(Data!Y12&gt;0,4-Data!Y12,"")</f>
        <v>3</v>
      </c>
      <c r="Z12" s="1">
        <f>IF(Data!Z12&gt;0,Data!Z12-4,"")</f>
        <v>2</v>
      </c>
      <c r="AC12" s="4" t="str">
        <f t="shared" si="4"/>
        <v/>
      </c>
      <c r="AD12" s="4" t="str">
        <f t="shared" si="5"/>
        <v/>
      </c>
      <c r="AE12" s="4" t="str">
        <f t="shared" si="6"/>
        <v/>
      </c>
      <c r="AF12" s="4" t="str">
        <f t="shared" si="7"/>
        <v/>
      </c>
      <c r="AG12" s="4" t="str">
        <f t="shared" si="8"/>
        <v/>
      </c>
      <c r="AH12" s="4">
        <f t="shared" si="9"/>
        <v>1</v>
      </c>
      <c r="AI12" s="2">
        <f t="shared" si="10"/>
        <v>1</v>
      </c>
      <c r="AK12" s="2">
        <f>IF(MAX(COUNTIF(Data!A12:Z12,1),COUNTIF(Data!A12:Z12,2),COUNTIF(Data!A12:Z12,3),COUNTIF(Data!A12:Z12,4),COUNTIF(Data!A12:Z12,5),COUNTIF(Data!A12:Z12,6),COUNTIF(Data!A12:Z12,7))&gt;0,MAX(COUNTIF(Data!A12:Z12,1),COUNTIF(Data!A12:Z12,2),COUNTIF(Data!A12:Z12,3),COUNTIF(Data!A12:Z12,4),COUNTIF(Data!A12:Z12,5),COUNTIF(Data!A12:Z12,6),COUNTIF(Data!A12:Z12,7)),"")</f>
        <v>6</v>
      </c>
    </row>
    <row r="13" spans="1:37">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4" t="str">
        <f t="shared" si="4"/>
        <v/>
      </c>
      <c r="AD13" s="4" t="str">
        <f t="shared" si="5"/>
        <v/>
      </c>
      <c r="AE13" s="4" t="str">
        <f t="shared" si="6"/>
        <v/>
      </c>
      <c r="AF13" s="4" t="str">
        <f t="shared" si="7"/>
        <v/>
      </c>
      <c r="AG13" s="4" t="str">
        <f t="shared" si="8"/>
        <v/>
      </c>
      <c r="AH13" s="4" t="str">
        <f t="shared" si="9"/>
        <v/>
      </c>
      <c r="AI13" s="2" t="str">
        <f t="shared" si="10"/>
        <v/>
      </c>
      <c r="AK13" s="2" t="str">
        <f>IF(MAX(COUNTIF(Data!A13:Z13,1),COUNTIF(Data!A13:Z13,2),COUNTIF(Data!A13:Z13,3),COUNTIF(Data!A13:Z13,4),COUNTIF(Data!A13:Z13,5),COUNTIF(Data!A13:Z13,6),COUNTIF(Data!A13:Z13,7))&gt;0,MAX(COUNTIF(Data!A13:Z13,1),COUNTIF(Data!A13:Z13,2),COUNTIF(Data!A13:Z13,3),COUNTIF(Data!A13:Z13,4),COUNTIF(Data!A13:Z13,5),COUNTIF(Data!A13:Z13,6),COUNTIF(Data!A13:Z13,7)),"")</f>
        <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t="str">
        <f t="shared" si="10"/>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11"/>
        <v/>
      </c>
      <c r="AD15" s="4" t="str">
        <f t="shared" si="12"/>
        <v/>
      </c>
      <c r="AE15" s="4" t="str">
        <f t="shared" si="13"/>
        <v/>
      </c>
      <c r="AF15" s="4" t="str">
        <f t="shared" si="14"/>
        <v/>
      </c>
      <c r="AG15" s="4" t="str">
        <f t="shared" si="8"/>
        <v/>
      </c>
      <c r="AH15" s="4" t="str">
        <f t="shared" si="15"/>
        <v/>
      </c>
      <c r="AI15" s="2" t="str">
        <f t="shared" si="10"/>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11"/>
        <v/>
      </c>
      <c r="AD16" s="4" t="str">
        <f t="shared" si="12"/>
        <v/>
      </c>
      <c r="AE16" s="4" t="str">
        <f t="shared" si="13"/>
        <v/>
      </c>
      <c r="AF16" s="4" t="str">
        <f t="shared" si="14"/>
        <v/>
      </c>
      <c r="AG16" s="4" t="str">
        <f t="shared" si="8"/>
        <v/>
      </c>
      <c r="AH16" s="4" t="str">
        <f t="shared" si="15"/>
        <v/>
      </c>
      <c r="AI16" s="2" t="str">
        <f t="shared" si="10"/>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11"/>
        <v/>
      </c>
      <c r="AD17" s="4" t="str">
        <f t="shared" si="12"/>
        <v/>
      </c>
      <c r="AE17" s="4" t="str">
        <f t="shared" si="13"/>
        <v/>
      </c>
      <c r="AF17" s="4" t="str">
        <f t="shared" si="14"/>
        <v/>
      </c>
      <c r="AG17" s="4" t="str">
        <f t="shared" si="8"/>
        <v/>
      </c>
      <c r="AH17" s="4" t="str">
        <f t="shared" si="15"/>
        <v/>
      </c>
      <c r="AI17" s="2" t="str">
        <f t="shared" si="10"/>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11"/>
        <v/>
      </c>
      <c r="AD19" s="4" t="str">
        <f t="shared" si="12"/>
        <v/>
      </c>
      <c r="AE19" s="4" t="str">
        <f t="shared" si="13"/>
        <v/>
      </c>
      <c r="AF19" s="4" t="str">
        <f t="shared" si="14"/>
        <v/>
      </c>
      <c r="AG19" s="4" t="str">
        <f t="shared" si="8"/>
        <v/>
      </c>
      <c r="AH19" s="4" t="str">
        <f t="shared" si="15"/>
        <v/>
      </c>
      <c r="AI19" s="2" t="str">
        <f t="shared" si="10"/>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11"/>
        <v/>
      </c>
      <c r="AD20" s="4" t="str">
        <f t="shared" si="12"/>
        <v/>
      </c>
      <c r="AE20" s="4" t="str">
        <f t="shared" si="13"/>
        <v/>
      </c>
      <c r="AF20" s="4" t="str">
        <f t="shared" si="14"/>
        <v/>
      </c>
      <c r="AG20" s="4" t="str">
        <f t="shared" si="8"/>
        <v/>
      </c>
      <c r="AH20" s="4" t="str">
        <f t="shared" si="15"/>
        <v/>
      </c>
      <c r="AI20" s="2" t="str">
        <f t="shared" si="10"/>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11"/>
        <v/>
      </c>
      <c r="AD21" s="4" t="str">
        <f t="shared" si="12"/>
        <v/>
      </c>
      <c r="AE21" s="4" t="str">
        <f t="shared" si="13"/>
        <v/>
      </c>
      <c r="AF21" s="4" t="str">
        <f t="shared" si="14"/>
        <v/>
      </c>
      <c r="AG21" s="4" t="str">
        <f t="shared" si="8"/>
        <v/>
      </c>
      <c r="AH21" s="4" t="str">
        <f t="shared" si="15"/>
        <v/>
      </c>
      <c r="AI21" s="2" t="str">
        <f t="shared" si="10"/>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11"/>
        <v/>
      </c>
      <c r="AD22" s="4" t="str">
        <f t="shared" si="12"/>
        <v/>
      </c>
      <c r="AE22" s="4" t="str">
        <f t="shared" si="13"/>
        <v/>
      </c>
      <c r="AF22" s="4" t="str">
        <f t="shared" si="14"/>
        <v/>
      </c>
      <c r="AG22" s="4" t="str">
        <f t="shared" si="8"/>
        <v/>
      </c>
      <c r="AH22" s="4" t="str">
        <f t="shared" si="15"/>
        <v/>
      </c>
      <c r="AI22" s="2" t="str">
        <f t="shared" si="10"/>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11"/>
        <v/>
      </c>
      <c r="AD23" s="4" t="str">
        <f t="shared" si="12"/>
        <v/>
      </c>
      <c r="AE23" s="4" t="str">
        <f t="shared" si="13"/>
        <v/>
      </c>
      <c r="AF23" s="4" t="str">
        <f t="shared" si="14"/>
        <v/>
      </c>
      <c r="AG23" s="4" t="str">
        <f t="shared" si="8"/>
        <v/>
      </c>
      <c r="AH23" s="4" t="str">
        <f t="shared" si="15"/>
        <v/>
      </c>
      <c r="AI23" s="2" t="str">
        <f t="shared" si="10"/>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11"/>
        <v/>
      </c>
      <c r="AD24" s="4" t="str">
        <f t="shared" si="12"/>
        <v/>
      </c>
      <c r="AE24" s="4" t="str">
        <f t="shared" si="13"/>
        <v/>
      </c>
      <c r="AF24" s="4" t="str">
        <f t="shared" si="14"/>
        <v/>
      </c>
      <c r="AG24" s="4" t="str">
        <f t="shared" si="8"/>
        <v/>
      </c>
      <c r="AH24" s="4" t="str">
        <f t="shared" si="15"/>
        <v/>
      </c>
      <c r="AI24" s="2" t="str">
        <f t="shared" si="10"/>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11"/>
        <v/>
      </c>
      <c r="AD25" s="4" t="str">
        <f t="shared" si="12"/>
        <v/>
      </c>
      <c r="AE25" s="4" t="str">
        <f t="shared" si="13"/>
        <v/>
      </c>
      <c r="AF25" s="4" t="str">
        <f t="shared" si="14"/>
        <v/>
      </c>
      <c r="AG25" s="4" t="str">
        <f t="shared" si="8"/>
        <v/>
      </c>
      <c r="AH25" s="4" t="str">
        <f t="shared" si="15"/>
        <v/>
      </c>
      <c r="AI25" s="2" t="str">
        <f t="shared" si="10"/>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11"/>
        <v/>
      </c>
      <c r="AD26" s="4" t="str">
        <f t="shared" si="12"/>
        <v/>
      </c>
      <c r="AE26" s="4" t="str">
        <f t="shared" si="13"/>
        <v/>
      </c>
      <c r="AF26" s="4" t="str">
        <f t="shared" si="14"/>
        <v/>
      </c>
      <c r="AG26" s="4" t="str">
        <f t="shared" si="8"/>
        <v/>
      </c>
      <c r="AH26" s="4" t="str">
        <f t="shared" si="15"/>
        <v/>
      </c>
      <c r="AI26" s="2" t="str">
        <f t="shared" si="10"/>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11"/>
        <v/>
      </c>
      <c r="AD27" s="4" t="str">
        <f t="shared" si="12"/>
        <v/>
      </c>
      <c r="AE27" s="4" t="str">
        <f t="shared" si="13"/>
        <v/>
      </c>
      <c r="AF27" s="4" t="str">
        <f t="shared" si="14"/>
        <v/>
      </c>
      <c r="AG27" s="4" t="str">
        <f t="shared" si="8"/>
        <v/>
      </c>
      <c r="AH27" s="4" t="str">
        <f t="shared" si="15"/>
        <v/>
      </c>
      <c r="AI27" s="2" t="str">
        <f t="shared" si="10"/>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11"/>
        <v/>
      </c>
      <c r="AD28" s="4" t="str">
        <f t="shared" si="12"/>
        <v/>
      </c>
      <c r="AE28" s="4" t="str">
        <f t="shared" si="13"/>
        <v/>
      </c>
      <c r="AF28" s="4" t="str">
        <f t="shared" si="14"/>
        <v/>
      </c>
      <c r="AG28" s="4" t="str">
        <f t="shared" si="8"/>
        <v/>
      </c>
      <c r="AH28" s="4" t="str">
        <f t="shared" si="15"/>
        <v/>
      </c>
      <c r="AI28" s="2" t="str">
        <f t="shared" si="10"/>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baseColWidth="10" defaultColWidth="8.83203125" defaultRowHeight="15"/>
  <cols>
    <col min="1" max="1" width="28" customWidth="1"/>
    <col min="2" max="2" width="18.1640625" customWidth="1"/>
    <col min="3" max="5" width="18.33203125" customWidth="1"/>
    <col min="6" max="6" width="18.5" customWidth="1"/>
    <col min="7" max="7" width="18.33203125" customWidth="1"/>
  </cols>
  <sheetData>
    <row r="1" spans="1:7" ht="21">
      <c r="A1" s="172" t="s">
        <v>829</v>
      </c>
      <c r="B1" s="172"/>
      <c r="C1" s="172"/>
      <c r="D1" s="172"/>
      <c r="E1" s="172"/>
      <c r="F1" s="172"/>
      <c r="G1" s="172"/>
    </row>
    <row r="2" spans="1:7" ht="184.75" customHeight="1">
      <c r="A2" s="160" t="s">
        <v>830</v>
      </c>
      <c r="B2" s="160"/>
      <c r="C2" s="160"/>
      <c r="D2" s="160"/>
      <c r="E2" s="160"/>
      <c r="F2" s="160"/>
      <c r="G2" s="160"/>
    </row>
    <row r="3" spans="1:7">
      <c r="A3" s="83" t="s">
        <v>110</v>
      </c>
      <c r="B3" s="76" t="s">
        <v>827</v>
      </c>
    </row>
    <row r="4" spans="1:7">
      <c r="A4" s="9" t="str">
        <f>VLOOKUP(Read_First!B5,Items!A1:BI50,54,FALSE)</f>
        <v>Attraction</v>
      </c>
      <c r="B4" s="6">
        <f>SQRT(VAR(DT!AC4:AC1004))</f>
        <v>0.58399433448968485</v>
      </c>
    </row>
    <row r="5" spans="1:7">
      <c r="A5" s="9" t="str">
        <f>VLOOKUP(Read_First!B5,Items!A1:BI50,55,FALSE)</f>
        <v>Compréhensibilité</v>
      </c>
      <c r="B5" s="6">
        <f>SQRT(VAR(DT!AD4:AD1004))</f>
        <v>0.5303300858899106</v>
      </c>
    </row>
    <row r="6" spans="1:7">
      <c r="A6" s="9" t="str">
        <f>VLOOKUP(Read_First!B5,Items!A1:BI50,56,FALSE)</f>
        <v>Efficacité</v>
      </c>
      <c r="B6" s="6">
        <f>SQRT(VAR(DT!AE4:AE1004))</f>
        <v>0.62638734909887117</v>
      </c>
    </row>
    <row r="7" spans="1:7">
      <c r="A7" s="9" t="str">
        <f>VLOOKUP(Read_First!B5,Items!A1:BI50,57,FALSE)</f>
        <v>Contrôlabilité</v>
      </c>
      <c r="B7" s="6">
        <f>SQRT(VAR(DT!AF4:AF1004))</f>
        <v>0.8640183897219883</v>
      </c>
    </row>
    <row r="8" spans="1:7">
      <c r="A8" s="9" t="str">
        <f>VLOOKUP(Read_First!B5,Items!A1:BI50,58,FALSE)</f>
        <v>Stimulation</v>
      </c>
      <c r="B8" s="6">
        <f>SQRT(VAR(DT!AG4:AG1004))</f>
        <v>0.57885183289374198</v>
      </c>
    </row>
    <row r="9" spans="1:7">
      <c r="A9" s="9" t="str">
        <f>VLOOKUP(Read_First!B5,Items!A1:BI50,59,FALSE)</f>
        <v>Originalité</v>
      </c>
      <c r="B9" s="6">
        <f>SQRT(VAR(DT!AH4:AH1004))</f>
        <v>0.41666666666666674</v>
      </c>
    </row>
    <row r="11" spans="1:7">
      <c r="A11" s="88" t="s">
        <v>828</v>
      </c>
      <c r="B11" s="84" t="str">
        <f>VLOOKUP(Read_First!B5,Items!A1:BI50,54,FALSE)</f>
        <v>Attraction</v>
      </c>
      <c r="C11" s="86" t="str">
        <f>VLOOKUP(Read_First!B5,Items!A1:BI50,55,FALSE)</f>
        <v>Compréhensibilité</v>
      </c>
      <c r="D11" s="86" t="str">
        <f>VLOOKUP(Read_First!B5,Items!A1:BI50,56,FALSE)</f>
        <v>Efficacité</v>
      </c>
      <c r="E11" s="87" t="str">
        <f>VLOOKUP(Read_First!B5,Items!A1:BI50,57,FALSE)</f>
        <v>Contrôlabilité</v>
      </c>
      <c r="F11" s="84" t="str">
        <f>VLOOKUP(Read_First!B5,Items!A1:BI50,58,FALSE)</f>
        <v>Stimulation</v>
      </c>
      <c r="G11" s="85" t="str">
        <f>VLOOKUP(Read_First!B5,Items!A1:BI50,59,FALSE)</f>
        <v>Originalité</v>
      </c>
    </row>
    <row r="12" spans="1:7">
      <c r="A12" s="90" t="s">
        <v>831</v>
      </c>
      <c r="B12" s="4">
        <f>POWER((1.65*B4)/0.5,2)</f>
        <v>3.7140277777777833</v>
      </c>
      <c r="C12" s="4">
        <f>POWER((1.65*B5)/0.5,2)</f>
        <v>3.0628124999999988</v>
      </c>
      <c r="D12" s="4">
        <f>POWER((1.65*B6)/0.5,2)</f>
        <v>4.2728125000000006</v>
      </c>
      <c r="E12" s="4">
        <f>POWER((1.65*B7)/0.5,2)</f>
        <v>8.1296874999999975</v>
      </c>
      <c r="F12" s="4">
        <f>POWER((1.65*B8)/0.5,2)</f>
        <v>3.6489062500000014</v>
      </c>
      <c r="G12" s="4">
        <f>POWER((1.65*B9)/0.5,2)</f>
        <v>1.8906250000000007</v>
      </c>
    </row>
    <row r="13" spans="1:7">
      <c r="A13" s="90" t="s">
        <v>832</v>
      </c>
      <c r="B13" s="4">
        <f>POWER((1.96*B4)/0.5,2)</f>
        <v>5.2407012345679096</v>
      </c>
      <c r="C13" s="4">
        <f>POWER((1.96*B5)/0.5,2)</f>
        <v>4.3217999999999988</v>
      </c>
      <c r="D13" s="4">
        <f>POWER((1.96*B6)/0.5,2)</f>
        <v>6.0291777777777771</v>
      </c>
      <c r="E13" s="4">
        <f>POWER((1.96*B7)/0.5,2)</f>
        <v>11.471444444444442</v>
      </c>
      <c r="F13" s="4">
        <f>POWER((1.96*B8)/0.5,2)</f>
        <v>5.1488111111111143</v>
      </c>
      <c r="G13" s="4">
        <f>POWER((1.96*B9)/0.5,2)</f>
        <v>2.6677777777777782</v>
      </c>
    </row>
    <row r="14" spans="1:7">
      <c r="A14" s="90" t="s">
        <v>833</v>
      </c>
      <c r="B14" s="4">
        <f>POWER((2.58*B4)/0.5,2)</f>
        <v>9.0806444444444594</v>
      </c>
      <c r="C14" s="4">
        <f>POWER((2.58*B5)/0.5,2)</f>
        <v>7.4884500000000003</v>
      </c>
      <c r="D14" s="4">
        <f>POWER((2.58*B6)/0.5,2)</f>
        <v>10.44685</v>
      </c>
      <c r="E14" s="4">
        <f>POWER((2.58*B7)/0.5,2)</f>
        <v>19.876749999999994</v>
      </c>
      <c r="F14" s="4">
        <f>POWER((2.58*B8)/0.5,2)</f>
        <v>8.9214250000000028</v>
      </c>
      <c r="G14" s="4">
        <f>POWER((2.58*B9)/0.5,2)</f>
        <v>4.6225000000000014</v>
      </c>
    </row>
    <row r="15" spans="1:7">
      <c r="A15" s="90" t="s">
        <v>834</v>
      </c>
      <c r="B15" s="4">
        <f>POWER((1.65*B4)/0.25,2)</f>
        <v>14.856111111111133</v>
      </c>
      <c r="C15" s="4">
        <f>POWER((1.65*B5)/0.25,2)</f>
        <v>12.251249999999995</v>
      </c>
      <c r="D15" s="4">
        <f>POWER((1.65*B6)/0.25,2)</f>
        <v>17.091250000000002</v>
      </c>
      <c r="E15" s="4">
        <f>POWER((1.65*B7)/0.25,2)</f>
        <v>32.51874999999999</v>
      </c>
      <c r="F15" s="4">
        <f>POWER((1.65*B8)/0.25,2)</f>
        <v>14.595625000000005</v>
      </c>
      <c r="G15" s="4">
        <f>POWER((1.65*B9)/0.25,2)</f>
        <v>7.5625000000000027</v>
      </c>
    </row>
    <row r="16" spans="1:7">
      <c r="A16" s="90" t="s">
        <v>835</v>
      </c>
      <c r="B16" s="4">
        <f>POWER((1.96*B4)/0.25,2)</f>
        <v>20.962804938271638</v>
      </c>
      <c r="C16" s="4">
        <f>POWER((1.96*B5)/0.25,2)</f>
        <v>17.287199999999995</v>
      </c>
      <c r="D16" s="4">
        <f>POWER((1.96*B6)/0.25,2)</f>
        <v>24.116711111111108</v>
      </c>
      <c r="E16" s="4">
        <f>POWER((1.96*B7)/0.25,2)</f>
        <v>45.885777777777768</v>
      </c>
      <c r="F16" s="4">
        <f>POWER((1.96*B8)/0.25,2)</f>
        <v>20.595244444444457</v>
      </c>
      <c r="G16" s="4">
        <f>POWER((1.96*B9)/0.25,2)</f>
        <v>10.671111111111113</v>
      </c>
    </row>
    <row r="17" spans="1:7">
      <c r="A17" s="90" t="s">
        <v>836</v>
      </c>
      <c r="B17" s="4">
        <f>POWER((2.58*B4)/0.25,2)</f>
        <v>36.322577777777838</v>
      </c>
      <c r="C17" s="4">
        <f>POWER((2.58*B5)/0.25,2)</f>
        <v>29.953800000000001</v>
      </c>
      <c r="D17" s="4">
        <f>POWER((2.58*B6)/0.25,2)</f>
        <v>41.787399999999998</v>
      </c>
      <c r="E17" s="4">
        <f>POWER((2.58*B7)/0.25,2)</f>
        <v>79.506999999999977</v>
      </c>
      <c r="F17" s="4">
        <f>POWER((2.58*B8)/0.25,2)</f>
        <v>35.685700000000011</v>
      </c>
      <c r="G17" s="4">
        <f>POWER((2.58*B9)/0.25,2)</f>
        <v>18.490000000000006</v>
      </c>
    </row>
    <row r="18" spans="1:7">
      <c r="A18" s="90" t="s">
        <v>837</v>
      </c>
      <c r="B18" s="4">
        <f>POWER((1.65*B4)/0.1,2)</f>
        <v>92.850694444444585</v>
      </c>
      <c r="C18" s="4">
        <f>POWER((1.65*B5)/0.1,2)</f>
        <v>76.570312499999957</v>
      </c>
      <c r="D18" s="4">
        <f>POWER((1.65*B6)/0.1,2)</f>
        <v>106.82031249999999</v>
      </c>
      <c r="E18" s="4">
        <f>POWER((1.65*B7)/0.1,2)</f>
        <v>203.24218749999997</v>
      </c>
      <c r="F18" s="4">
        <f>POWER((1.65*B8)/0.1,2)</f>
        <v>91.222656250000014</v>
      </c>
      <c r="G18" s="4">
        <f>POWER((1.65*B9)/0.1,2)</f>
        <v>47.265625000000014</v>
      </c>
    </row>
    <row r="19" spans="1:7">
      <c r="A19" s="90" t="s">
        <v>838</v>
      </c>
      <c r="B19" s="4">
        <f>POWER((1.96*B4)/0.1,2)</f>
        <v>131.01753086419771</v>
      </c>
      <c r="C19" s="4">
        <f>POWER((1.96*B5)/0.1,2)</f>
        <v>108.04499999999994</v>
      </c>
      <c r="D19" s="4">
        <f>POWER((1.96*B6)/0.1,2)</f>
        <v>150.7294444444444</v>
      </c>
      <c r="E19" s="4">
        <f>POWER((1.96*B7)/0.1,2)</f>
        <v>286.78611111111104</v>
      </c>
      <c r="F19" s="4">
        <f>POWER((1.96*B8)/0.1,2)</f>
        <v>128.72027777777782</v>
      </c>
      <c r="G19" s="4">
        <f>POWER((1.96*B9)/0.1,2)</f>
        <v>66.694444444444457</v>
      </c>
    </row>
    <row r="20" spans="1:7">
      <c r="A20" s="91" t="s">
        <v>839</v>
      </c>
      <c r="B20" s="4">
        <f>POWER((2.58*B4)/0.1,2)</f>
        <v>227.01611111111146</v>
      </c>
      <c r="C20" s="4">
        <f>POWER((2.58*B5)/0.1,2)</f>
        <v>187.21124999999998</v>
      </c>
      <c r="D20" s="4">
        <f>POWER((2.58*B6)/0.1,2)</f>
        <v>261.17124999999999</v>
      </c>
      <c r="E20" s="4">
        <f>POWER((2.58*B7)/0.1,2)</f>
        <v>496.91874999999976</v>
      </c>
      <c r="F20" s="4">
        <f>POWER((2.58*B8)/0.1,2)</f>
        <v>223.03562500000007</v>
      </c>
      <c r="G20" s="4">
        <f>POWER((2.58*B9)/0.1,2)</f>
        <v>115.56250000000004</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baseColWidth="10" defaultColWidth="8.83203125" defaultRowHeight="15"/>
  <cols>
    <col min="1" max="6" width="12.83203125" customWidth="1"/>
    <col min="7" max="7" width="10.6640625" customWidth="1"/>
    <col min="8" max="8" width="11.1640625" customWidth="1"/>
    <col min="9" max="11" width="12.83203125" customWidth="1"/>
    <col min="12" max="12" width="14.83203125" customWidth="1"/>
    <col min="13" max="13" width="13.5" customWidth="1"/>
    <col min="14" max="14" width="12.83203125" customWidth="1"/>
    <col min="17" max="17" width="12.83203125" customWidth="1"/>
    <col min="18" max="18" width="8.6640625" customWidth="1"/>
    <col min="19" max="19" width="10" customWidth="1"/>
    <col min="20" max="20" width="7.6640625" customWidth="1"/>
    <col min="21" max="21" width="10.5" customWidth="1"/>
  </cols>
  <sheetData>
    <row r="1" spans="1:23" ht="133.25" customHeight="1">
      <c r="A1" s="160" t="s">
        <v>1285</v>
      </c>
      <c r="B1" s="154"/>
      <c r="C1" s="154"/>
      <c r="D1" s="154"/>
      <c r="E1" s="154"/>
      <c r="F1" s="154"/>
      <c r="H1" s="48"/>
      <c r="I1" s="119" t="s">
        <v>1272</v>
      </c>
      <c r="J1" s="114" t="e">
        <f>AVERAGE(O4:O1004)</f>
        <v>#VALUE!</v>
      </c>
      <c r="K1" s="115" t="s">
        <v>1284</v>
      </c>
      <c r="L1" s="116" t="e">
        <f>STDEV(O4:O1004)</f>
        <v>#VALUE!</v>
      </c>
      <c r="M1" s="117" t="s">
        <v>1286</v>
      </c>
      <c r="N1" s="118" t="e">
        <f>CONFIDENCE(0.05,L1,Results!E3)</f>
        <v>#VALUE!</v>
      </c>
      <c r="O1" s="120"/>
    </row>
    <row r="2" spans="1:23">
      <c r="A2" s="173" t="s">
        <v>1269</v>
      </c>
      <c r="B2" s="173"/>
      <c r="C2" s="173"/>
      <c r="D2" s="173"/>
      <c r="E2" s="173"/>
      <c r="F2" s="173"/>
      <c r="G2" s="39"/>
      <c r="I2" s="173" t="s">
        <v>1270</v>
      </c>
      <c r="J2" s="173"/>
      <c r="K2" s="173"/>
      <c r="L2" s="173"/>
      <c r="M2" s="173"/>
      <c r="N2" s="173"/>
      <c r="O2" s="1"/>
      <c r="Q2" s="174" t="s">
        <v>1528</v>
      </c>
      <c r="R2" s="174"/>
      <c r="S2" s="174"/>
      <c r="T2" s="174"/>
      <c r="U2" s="174"/>
      <c r="V2" s="174"/>
      <c r="W2" s="174"/>
    </row>
    <row r="3" spans="1:23">
      <c r="A3" s="83" t="str">
        <f>VLOOKUP(Read_First!B5,Items!A1:BI50,54,FALSE)</f>
        <v>Attraction</v>
      </c>
      <c r="B3" s="77" t="str">
        <f>VLOOKUP(Read_First!B5,Items!A1:BI50,55,FALSE)</f>
        <v>Compréhensibilité</v>
      </c>
      <c r="C3" s="77" t="str">
        <f>VLOOKUP(Read_First!B5,Items!A1:BI50,56,FALSE)</f>
        <v>Efficacité</v>
      </c>
      <c r="D3" s="77" t="str">
        <f>VLOOKUP(Read_First!B5,Items!A1:BI50,57,FALSE)</f>
        <v>Contrôlabilité</v>
      </c>
      <c r="E3" s="77" t="str">
        <f>VLOOKUP(Read_First!B5,Items!A1:BI50,58,FALSE)</f>
        <v>Stimulation</v>
      </c>
      <c r="F3" s="77" t="str">
        <f>VLOOKUP(Read_First!B5,Items!A1:BI50,59,FALSE)</f>
        <v>Originalité</v>
      </c>
      <c r="G3" s="76" t="s">
        <v>1271</v>
      </c>
      <c r="I3" s="112" t="str">
        <f>VLOOKUP(Read_First!B5,Items!A1:BI50,54,FALSE)</f>
        <v>Attraction</v>
      </c>
      <c r="J3" s="75" t="str">
        <f>VLOOKUP(Read_First!B5,Items!A1:BI50,55,FALSE)</f>
        <v>Compréhensibilité</v>
      </c>
      <c r="K3" s="74" t="str">
        <f>VLOOKUP(Read_First!B5,Items!A1:BI50,56,FALSE)</f>
        <v>Efficacité</v>
      </c>
      <c r="L3" s="74" t="str">
        <f>VLOOKUP(Read_First!B5,Items!A1:BI50,57,FALSE)</f>
        <v>Contrôlabilité</v>
      </c>
      <c r="M3" s="74" t="str">
        <f>VLOOKUP(Read_First!B5,Items!A1:BI50,58,FALSE)</f>
        <v>Stimulation</v>
      </c>
      <c r="N3" s="74" t="str">
        <f>VLOOKUP(Read_First!B5,Items!A1:BI50,59,FALSE)</f>
        <v>Originalité</v>
      </c>
      <c r="O3" s="113" t="s">
        <v>1272</v>
      </c>
      <c r="Q3" s="130" t="s">
        <v>1525</v>
      </c>
      <c r="R3" s="130" t="s">
        <v>106</v>
      </c>
      <c r="S3" s="130" t="s">
        <v>1526</v>
      </c>
      <c r="T3" s="130" t="s">
        <v>3</v>
      </c>
      <c r="U3" s="130" t="s">
        <v>112</v>
      </c>
      <c r="V3" s="165" t="s">
        <v>1527</v>
      </c>
      <c r="W3" s="165"/>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f>IF(G4&gt;0,DT!AC4*I4+DT!AD4*J4+DT!AE4*K4+DT!AF4*L4+DT!AG4*M4+DT!AH4*N4,"")</f>
        <v>1.7279411764705883</v>
      </c>
      <c r="Q4" s="131" t="str">
        <f>VLOOKUP(Read_First!B5,Items!A1:BI50,54,FALSE)</f>
        <v>Attraction</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1.5694444444444444</v>
      </c>
      <c r="Q5" s="131" t="str">
        <f>VLOOKUP(Read_First!B5,Items!A1:BI50,55,FALSE)</f>
        <v>Compréhensibilité</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1.342857142857143</v>
      </c>
      <c r="Q6" s="131" t="str">
        <f>VLOOKUP(Read_First!B5,Items!A1:BI50,56,FALSE)</f>
        <v>Efficacité</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2.0111111111111111</v>
      </c>
      <c r="Q7" s="131" t="str">
        <f>VLOOKUP(Read_First!B5,Items!A1:BI50,57,FALSE)</f>
        <v>Contrôlabilité</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1.6319444444444446</v>
      </c>
      <c r="Q8" s="131" t="str">
        <f>VLOOKUP(Read_First!B5,Items!A1:BI50,58,FALSE)</f>
        <v>Stimulation</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1.8919753086419751</v>
      </c>
      <c r="Q9" s="131" t="str">
        <f>VLOOKUP(Read_First!B5,Items!A1:BI50,59,FALSE)</f>
        <v>Originalité</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f>IF(G10&gt;0,DT!AC10*I10+DT!AD10*J10+DT!AE10*K10+DT!AF10*L10+DT!AG10*M10+DT!AH10*N10,"")</f>
        <v>0.98842592592592593</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f>IF(G11&gt;0,DT!AC11*I11+DT!AD11*J11+DT!AE11*K11+DT!AF11*L11+DT!AG11*M11+DT!AH11*N11,"")</f>
        <v>1.4527777777777779</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f>IF(G12&gt;0,DT!AC12*I12+DT!AD12*J12+DT!AE12*K12+DT!AF12*L12+DT!AG12*M12+DT!AH12*N12,"")</f>
        <v>2.0427927927927927</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t="e">
        <f>IF(G13&gt;0,DT!AC13*I13+DT!AD13*J13+DT!AE13*K13+DT!AF13*L13+DT!AG13*M13+DT!AH13*N13,"")</f>
        <v>#VALUE!</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t="e">
        <f>IF(G14&gt;0,DT!AC14*I14+DT!AD14*J14+DT!AE14*K14+DT!AF14*L14+DT!AG14*M14+DT!AH14*N14,"")</f>
        <v>#VALUE!</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t="e">
        <f>IF(G15&gt;0,DT!AC15*I15+DT!AD15*J15+DT!AE15*K15+DT!AF15*L15+DT!AG15*M15+DT!AH15*N15,"")</f>
        <v>#VALUE!</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t="e">
        <f>IF(G16&gt;0,DT!AC16*I16+DT!AD16*J16+DT!AE16*K16+DT!AF16*L16+DT!AG16*M16+DT!AH16*N16,"")</f>
        <v>#VALUE!</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t="e">
        <f>IF(G17&gt;0,DT!AC17*I17+DT!AD17*J17+DT!AE17*K17+DT!AF17*L17+DT!AG17*M17+DT!AH17*N17,"")</f>
        <v>#VALUE!</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t="e">
        <f>IF(G19&gt;0,DT!AC19*I19+DT!AD19*J19+DT!AE19*K19+DT!AF19*L19+DT!AG19*M19+DT!AH19*N19,"")</f>
        <v>#VALUE!</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t="e">
        <f>IF(G20&gt;0,DT!AC20*I20+DT!AD20*J20+DT!AE20*K20+DT!AF20*L20+DT!AG20*M20+DT!AH20*N20,"")</f>
        <v>#VALUE!</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t="e">
        <f>IF(G21&gt;0,DT!AC21*I21+DT!AD21*J21+DT!AE21*K21+DT!AF21*L21+DT!AG21*M21+DT!AH21*N21,"")</f>
        <v>#VALUE!</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t="e">
        <f>IF(G22&gt;0,DT!AC22*I22+DT!AD22*J22+DT!AE22*K22+DT!AF22*L22+DT!AG22*M22+DT!AH22*N22,"")</f>
        <v>#VALUE!</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t="e">
        <f>IF(G23&gt;0,DT!AC23*I23+DT!AD23*J23+DT!AE23*K23+DT!AF23*L23+DT!AG23*M23+DT!AH23*N23,"")</f>
        <v>#VALUE!</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t="e">
        <f>IF(G24&gt;0,DT!AC24*I24+DT!AD24*J24+DT!AE24*K24+DT!AF24*L24+DT!AG24*M24+DT!AH24*N24,"")</f>
        <v>#VALUE!</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t="e">
        <f>IF(G25&gt;0,DT!AC25*I25+DT!AD25*J25+DT!AE25*K25+DT!AF25*L25+DT!AG25*M25+DT!AH25*N25,"")</f>
        <v>#VALUE!</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t="e">
        <f>IF(G26&gt;0,DT!AC26*I26+DT!AD26*J26+DT!AE26*K26+DT!AF26*L26+DT!AG26*M26+DT!AH26*N26,"")</f>
        <v>#VALUE!</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t="e">
        <f>IF(G27&gt;0,DT!AC27*I27+DT!AD27*J27+DT!AE27*K27+DT!AF27*L27+DT!AG27*M27+DT!AH27*N27,"")</f>
        <v>#VALUE!</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t="e">
        <f>IF(G28&gt;0,DT!AC28*I28+DT!AD28*J28+DT!AE28*K28+DT!AF28*L28+DT!AG28*M28+DT!AH28*N28,"")</f>
        <v>#VALUE!</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T20" workbookViewId="0">
      <selection activeCell="A25" sqref="A25:BA25"/>
    </sheetView>
  </sheetViews>
  <sheetFormatPr baseColWidth="10" defaultColWidth="9.1640625" defaultRowHeight="15"/>
  <cols>
    <col min="1" max="1" width="18.33203125" customWidth="1"/>
    <col min="2" max="53" width="15.6640625" customWidth="1"/>
    <col min="54" max="54" width="18.83203125" customWidth="1"/>
    <col min="55" max="55" width="18.5" customWidth="1"/>
    <col min="56" max="57" width="18.33203125" customWidth="1"/>
    <col min="58" max="59" width="18.5" customWidth="1"/>
    <col min="60" max="61" width="18.33203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1" t="s">
        <v>50</v>
      </c>
      <c r="BD1" s="21" t="s">
        <v>51</v>
      </c>
      <c r="BE1" s="22" t="s">
        <v>52</v>
      </c>
      <c r="BF1" s="22" t="s">
        <v>1</v>
      </c>
      <c r="BG1" s="21"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1" t="s">
        <v>49</v>
      </c>
      <c r="BC3" s="21" t="s">
        <v>50</v>
      </c>
      <c r="BD3" s="21" t="s">
        <v>51</v>
      </c>
      <c r="BE3" s="22" t="s">
        <v>52</v>
      </c>
      <c r="BF3" s="22" t="s">
        <v>1</v>
      </c>
      <c r="BG3" s="21"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1" t="s">
        <v>360</v>
      </c>
      <c r="BC6" s="21" t="s">
        <v>361</v>
      </c>
      <c r="BD6" s="21" t="s">
        <v>362</v>
      </c>
      <c r="BE6" s="21" t="s">
        <v>363</v>
      </c>
      <c r="BF6" s="21" t="s">
        <v>364</v>
      </c>
      <c r="BG6" s="21" t="s">
        <v>365</v>
      </c>
      <c r="BH6" t="s">
        <v>803</v>
      </c>
      <c r="BI6" t="s">
        <v>813</v>
      </c>
    </row>
    <row r="7" spans="1:61">
      <c r="A7" t="s">
        <v>246</v>
      </c>
      <c r="B7" t="s">
        <v>1353</v>
      </c>
      <c r="C7" t="s">
        <v>497</v>
      </c>
      <c r="D7" t="s">
        <v>480</v>
      </c>
      <c r="E7" t="s">
        <v>481</v>
      </c>
      <c r="F7" t="s">
        <v>1199</v>
      </c>
      <c r="G7" t="s">
        <v>1200</v>
      </c>
      <c r="H7" t="s">
        <v>1212</v>
      </c>
      <c r="I7" t="s">
        <v>1213</v>
      </c>
      <c r="J7" t="s">
        <v>1201</v>
      </c>
      <c r="K7" t="s">
        <v>1202</v>
      </c>
      <c r="L7" t="s">
        <v>483</v>
      </c>
      <c r="M7" t="s">
        <v>484</v>
      </c>
      <c r="N7" t="s">
        <v>485</v>
      </c>
      <c r="O7" t="s">
        <v>486</v>
      </c>
      <c r="P7" t="s">
        <v>487</v>
      </c>
      <c r="Q7" t="s">
        <v>488</v>
      </c>
      <c r="R7" t="s">
        <v>489</v>
      </c>
      <c r="S7" t="s">
        <v>490</v>
      </c>
      <c r="T7" t="s">
        <v>441</v>
      </c>
      <c r="U7" t="s">
        <v>491</v>
      </c>
      <c r="V7" t="s">
        <v>1203</v>
      </c>
      <c r="W7" t="s">
        <v>1204</v>
      </c>
      <c r="X7" t="s">
        <v>492</v>
      </c>
      <c r="Y7" t="s">
        <v>482</v>
      </c>
      <c r="Z7" t="s">
        <v>493</v>
      </c>
      <c r="AA7" t="s">
        <v>494</v>
      </c>
      <c r="AB7" t="s">
        <v>495</v>
      </c>
      <c r="AC7" t="s">
        <v>1205</v>
      </c>
      <c r="AD7" t="s">
        <v>1206</v>
      </c>
      <c r="AE7" t="s">
        <v>1207</v>
      </c>
      <c r="AF7" t="s">
        <v>496</v>
      </c>
      <c r="AG7" t="s">
        <v>497</v>
      </c>
      <c r="AH7" t="s">
        <v>1208</v>
      </c>
      <c r="AI7" t="s">
        <v>1209</v>
      </c>
      <c r="AJ7" t="s">
        <v>498</v>
      </c>
      <c r="AK7" t="s">
        <v>499</v>
      </c>
      <c r="AL7" t="s">
        <v>500</v>
      </c>
      <c r="AM7" t="s">
        <v>501</v>
      </c>
      <c r="AN7" t="s">
        <v>502</v>
      </c>
      <c r="AO7" t="s">
        <v>503</v>
      </c>
      <c r="AP7" t="s">
        <v>504</v>
      </c>
      <c r="AQ7" t="s">
        <v>1210</v>
      </c>
      <c r="AR7" t="s">
        <v>505</v>
      </c>
      <c r="AS7" t="s">
        <v>506</v>
      </c>
      <c r="AT7" t="s">
        <v>507</v>
      </c>
      <c r="AU7" t="s">
        <v>508</v>
      </c>
      <c r="AV7" t="s">
        <v>509</v>
      </c>
      <c r="AW7" t="s">
        <v>510</v>
      </c>
      <c r="AX7" t="s">
        <v>511</v>
      </c>
      <c r="AY7" t="s">
        <v>1211</v>
      </c>
      <c r="AZ7" t="s">
        <v>512</v>
      </c>
      <c r="BA7" t="s">
        <v>513</v>
      </c>
      <c r="BB7" s="21" t="s">
        <v>514</v>
      </c>
      <c r="BC7" s="21" t="s">
        <v>515</v>
      </c>
      <c r="BD7" s="21" t="s">
        <v>516</v>
      </c>
      <c r="BE7" s="22" t="s">
        <v>517</v>
      </c>
      <c r="BF7" s="22" t="s">
        <v>1</v>
      </c>
      <c r="BG7" s="21"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1" t="s">
        <v>566</v>
      </c>
      <c r="BC8" s="21" t="s">
        <v>567</v>
      </c>
      <c r="BD8" s="21" t="s">
        <v>568</v>
      </c>
      <c r="BE8" s="22" t="s">
        <v>569</v>
      </c>
      <c r="BF8" s="22" t="s">
        <v>570</v>
      </c>
      <c r="BG8" s="21"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1" t="s">
        <v>794</v>
      </c>
      <c r="BC9" s="21" t="s">
        <v>795</v>
      </c>
      <c r="BD9" s="21" t="s">
        <v>796</v>
      </c>
      <c r="BE9" s="22" t="s">
        <v>797</v>
      </c>
      <c r="BF9" s="22" t="s">
        <v>798</v>
      </c>
      <c r="BG9" s="21" t="s">
        <v>799</v>
      </c>
      <c r="BH9" s="134" t="s">
        <v>2141</v>
      </c>
      <c r="BI9" s="134" t="s">
        <v>2142</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1214</v>
      </c>
      <c r="AY10" t="s">
        <v>299</v>
      </c>
      <c r="AZ10" t="s">
        <v>300</v>
      </c>
      <c r="BA10" t="s">
        <v>301</v>
      </c>
      <c r="BB10" s="19" t="s">
        <v>302</v>
      </c>
      <c r="BC10" t="s">
        <v>303</v>
      </c>
      <c r="BD10" s="19" t="s">
        <v>304</v>
      </c>
      <c r="BE10" s="20" t="s">
        <v>305</v>
      </c>
      <c r="BF10" s="20" t="s">
        <v>306</v>
      </c>
      <c r="BG10" s="25"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9" t="s">
        <v>788</v>
      </c>
      <c r="BC11" s="19" t="s">
        <v>789</v>
      </c>
      <c r="BD11" s="19" t="s">
        <v>790</v>
      </c>
      <c r="BE11" s="20" t="s">
        <v>791</v>
      </c>
      <c r="BF11" s="20" t="s">
        <v>792</v>
      </c>
      <c r="BG11" s="19"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1" t="s">
        <v>731</v>
      </c>
      <c r="BC13" s="21" t="s">
        <v>732</v>
      </c>
      <c r="BD13" s="21" t="s">
        <v>733</v>
      </c>
      <c r="BE13" s="22" t="s">
        <v>734</v>
      </c>
      <c r="BF13" s="22" t="s">
        <v>735</v>
      </c>
      <c r="BG13" s="21" t="s">
        <v>736</v>
      </c>
      <c r="BH13" t="s">
        <v>802</v>
      </c>
      <c r="BI13" t="s">
        <v>817</v>
      </c>
    </row>
    <row r="14" spans="1:61">
      <c r="A14" t="s">
        <v>840</v>
      </c>
      <c r="B14" s="37" t="s">
        <v>841</v>
      </c>
      <c r="C14" s="37" t="s">
        <v>842</v>
      </c>
      <c r="D14" s="37" t="s">
        <v>843</v>
      </c>
      <c r="E14" s="37" t="s">
        <v>844</v>
      </c>
      <c r="F14" s="37" t="s">
        <v>845</v>
      </c>
      <c r="G14" s="37" t="s">
        <v>846</v>
      </c>
      <c r="H14" s="37" t="s">
        <v>847</v>
      </c>
      <c r="I14" s="37" t="s">
        <v>848</v>
      </c>
      <c r="J14" s="37" t="s">
        <v>849</v>
      </c>
      <c r="K14" s="37" t="s">
        <v>850</v>
      </c>
      <c r="L14" s="37" t="s">
        <v>851</v>
      </c>
      <c r="M14" s="37" t="s">
        <v>852</v>
      </c>
      <c r="N14" s="37" t="s">
        <v>853</v>
      </c>
      <c r="O14" s="37" t="s">
        <v>854</v>
      </c>
      <c r="P14" s="37" t="s">
        <v>855</v>
      </c>
      <c r="Q14" s="37" t="s">
        <v>856</v>
      </c>
      <c r="R14" s="37" t="s">
        <v>857</v>
      </c>
      <c r="S14" s="37" t="s">
        <v>858</v>
      </c>
      <c r="T14" s="37" t="s">
        <v>859</v>
      </c>
      <c r="U14" s="37" t="s">
        <v>860</v>
      </c>
      <c r="V14" s="37" t="s">
        <v>861</v>
      </c>
      <c r="W14" s="37" t="s">
        <v>862</v>
      </c>
      <c r="X14" s="37" t="s">
        <v>863</v>
      </c>
      <c r="Y14" s="37" t="s">
        <v>864</v>
      </c>
      <c r="Z14" s="37" t="s">
        <v>865</v>
      </c>
      <c r="AA14" s="37" t="s">
        <v>866</v>
      </c>
      <c r="AB14" s="37" t="s">
        <v>867</v>
      </c>
      <c r="AC14" s="37" t="s">
        <v>868</v>
      </c>
      <c r="AD14" s="37" t="s">
        <v>846</v>
      </c>
      <c r="AE14" s="37" t="s">
        <v>869</v>
      </c>
      <c r="AF14" s="37" t="s">
        <v>870</v>
      </c>
      <c r="AG14" s="37" t="s">
        <v>871</v>
      </c>
      <c r="AH14" s="37" t="s">
        <v>872</v>
      </c>
      <c r="AI14" s="37" t="s">
        <v>873</v>
      </c>
      <c r="AJ14" s="37" t="s">
        <v>874</v>
      </c>
      <c r="AK14" s="37" t="s">
        <v>875</v>
      </c>
      <c r="AL14" s="37" t="s">
        <v>876</v>
      </c>
      <c r="AM14" s="37" t="s">
        <v>877</v>
      </c>
      <c r="AN14" s="37" t="s">
        <v>878</v>
      </c>
      <c r="AO14" s="37" t="s">
        <v>879</v>
      </c>
      <c r="AP14" s="37" t="s">
        <v>880</v>
      </c>
      <c r="AQ14" s="37" t="s">
        <v>881</v>
      </c>
      <c r="AR14" s="37" t="s">
        <v>882</v>
      </c>
      <c r="AS14" s="37" t="s">
        <v>883</v>
      </c>
      <c r="AT14" s="37" t="s">
        <v>884</v>
      </c>
      <c r="AU14" s="37" t="s">
        <v>885</v>
      </c>
      <c r="AV14" s="37" t="s">
        <v>886</v>
      </c>
      <c r="AW14" s="37" t="s">
        <v>887</v>
      </c>
      <c r="AX14" s="37" t="s">
        <v>888</v>
      </c>
      <c r="AY14" s="37" t="s">
        <v>889</v>
      </c>
      <c r="AZ14" s="37" t="s">
        <v>860</v>
      </c>
      <c r="BA14" s="37" t="s">
        <v>869</v>
      </c>
      <c r="BB14" t="s">
        <v>890</v>
      </c>
      <c r="BC14" t="s">
        <v>891</v>
      </c>
      <c r="BD14" t="s">
        <v>892</v>
      </c>
      <c r="BE14" t="s">
        <v>893</v>
      </c>
      <c r="BF14" t="s">
        <v>894</v>
      </c>
      <c r="BG14" t="s">
        <v>895</v>
      </c>
      <c r="BH14" t="s">
        <v>896</v>
      </c>
      <c r="BI14" t="s">
        <v>897</v>
      </c>
    </row>
    <row r="15" spans="1:61">
      <c r="A15" t="s">
        <v>950</v>
      </c>
      <c r="B15" s="37" t="s">
        <v>898</v>
      </c>
      <c r="C15" s="37" t="s">
        <v>899</v>
      </c>
      <c r="D15" s="37" t="s">
        <v>900</v>
      </c>
      <c r="E15" s="37" t="s">
        <v>901</v>
      </c>
      <c r="F15" s="37" t="s">
        <v>902</v>
      </c>
      <c r="G15" s="37" t="s">
        <v>903</v>
      </c>
      <c r="H15" s="37" t="s">
        <v>904</v>
      </c>
      <c r="I15" s="37" t="s">
        <v>905</v>
      </c>
      <c r="J15" s="37" t="s">
        <v>906</v>
      </c>
      <c r="K15" s="37" t="s">
        <v>907</v>
      </c>
      <c r="L15" s="37" t="s">
        <v>908</v>
      </c>
      <c r="M15" s="37" t="s">
        <v>909</v>
      </c>
      <c r="N15" s="37" t="s">
        <v>910</v>
      </c>
      <c r="O15" s="37" t="s">
        <v>911</v>
      </c>
      <c r="P15" s="37" t="s">
        <v>912</v>
      </c>
      <c r="Q15" s="37" t="s">
        <v>913</v>
      </c>
      <c r="R15" s="37" t="s">
        <v>914</v>
      </c>
      <c r="S15" s="37" t="s">
        <v>915</v>
      </c>
      <c r="T15" s="37" t="s">
        <v>916</v>
      </c>
      <c r="U15" s="37" t="s">
        <v>917</v>
      </c>
      <c r="V15" s="37" t="s">
        <v>918</v>
      </c>
      <c r="W15" s="37" t="s">
        <v>919</v>
      </c>
      <c r="X15" s="37" t="s">
        <v>920</v>
      </c>
      <c r="Y15" s="37" t="s">
        <v>921</v>
      </c>
      <c r="Z15" s="37" t="s">
        <v>922</v>
      </c>
      <c r="AA15" s="37" t="s">
        <v>923</v>
      </c>
      <c r="AB15" s="37" t="s">
        <v>924</v>
      </c>
      <c r="AC15" s="37" t="s">
        <v>925</v>
      </c>
      <c r="AD15" s="37" t="s">
        <v>926</v>
      </c>
      <c r="AE15" s="37" t="s">
        <v>927</v>
      </c>
      <c r="AF15" s="37" t="s">
        <v>928</v>
      </c>
      <c r="AG15" s="37" t="s">
        <v>929</v>
      </c>
      <c r="AH15" s="37" t="s">
        <v>930</v>
      </c>
      <c r="AI15" s="37" t="s">
        <v>931</v>
      </c>
      <c r="AJ15" s="37" t="s">
        <v>932</v>
      </c>
      <c r="AK15" s="37" t="s">
        <v>933</v>
      </c>
      <c r="AL15" s="37" t="s">
        <v>934</v>
      </c>
      <c r="AM15" s="37" t="s">
        <v>935</v>
      </c>
      <c r="AN15" s="37" t="s">
        <v>936</v>
      </c>
      <c r="AO15" s="37" t="s">
        <v>937</v>
      </c>
      <c r="AP15" s="37" t="s">
        <v>938</v>
      </c>
      <c r="AQ15" s="37" t="s">
        <v>939</v>
      </c>
      <c r="AR15" s="37" t="s">
        <v>940</v>
      </c>
      <c r="AS15" s="37" t="s">
        <v>941</v>
      </c>
      <c r="AT15" s="37" t="s">
        <v>942</v>
      </c>
      <c r="AU15" s="37" t="s">
        <v>943</v>
      </c>
      <c r="AV15" s="37" t="s">
        <v>944</v>
      </c>
      <c r="AW15" s="37" t="s">
        <v>945</v>
      </c>
      <c r="AX15" s="37" t="s">
        <v>946</v>
      </c>
      <c r="AY15" s="37" t="s">
        <v>947</v>
      </c>
      <c r="AZ15" s="37" t="s">
        <v>948</v>
      </c>
      <c r="BA15" s="37" t="s">
        <v>949</v>
      </c>
      <c r="BB15" s="38" t="s">
        <v>951</v>
      </c>
      <c r="BC15" s="21" t="s">
        <v>953</v>
      </c>
      <c r="BD15" s="21" t="s">
        <v>952</v>
      </c>
      <c r="BE15" s="22" t="s">
        <v>954</v>
      </c>
      <c r="BF15" s="22" t="s">
        <v>955</v>
      </c>
      <c r="BG15" s="21" t="s">
        <v>956</v>
      </c>
      <c r="BH15" t="s">
        <v>957</v>
      </c>
      <c r="BI15" t="s">
        <v>958</v>
      </c>
    </row>
    <row r="16" spans="1:61">
      <c r="A16" t="s">
        <v>959</v>
      </c>
      <c r="B16" s="37" t="s">
        <v>968</v>
      </c>
      <c r="C16" s="37" t="s">
        <v>969</v>
      </c>
      <c r="D16" s="37" t="s">
        <v>970</v>
      </c>
      <c r="E16" s="37" t="s">
        <v>971</v>
      </c>
      <c r="F16" s="37" t="s">
        <v>972</v>
      </c>
      <c r="G16" s="37" t="s">
        <v>973</v>
      </c>
      <c r="H16" s="37" t="s">
        <v>974</v>
      </c>
      <c r="I16" s="37" t="s">
        <v>975</v>
      </c>
      <c r="J16" s="37" t="s">
        <v>976</v>
      </c>
      <c r="K16" s="37" t="s">
        <v>977</v>
      </c>
      <c r="L16" s="37" t="s">
        <v>973</v>
      </c>
      <c r="M16" s="37" t="s">
        <v>978</v>
      </c>
      <c r="N16" s="37" t="s">
        <v>979</v>
      </c>
      <c r="O16" s="37" t="s">
        <v>980</v>
      </c>
      <c r="P16" s="37" t="s">
        <v>981</v>
      </c>
      <c r="Q16" s="37" t="s">
        <v>982</v>
      </c>
      <c r="R16" s="37" t="s">
        <v>983</v>
      </c>
      <c r="S16" s="37" t="s">
        <v>984</v>
      </c>
      <c r="T16" s="37" t="s">
        <v>985</v>
      </c>
      <c r="U16" s="37" t="s">
        <v>986</v>
      </c>
      <c r="V16" s="37" t="s">
        <v>987</v>
      </c>
      <c r="W16" s="37" t="s">
        <v>988</v>
      </c>
      <c r="X16" s="37" t="s">
        <v>989</v>
      </c>
      <c r="Y16" s="37" t="s">
        <v>990</v>
      </c>
      <c r="Z16" s="37" t="s">
        <v>991</v>
      </c>
      <c r="AA16" s="37" t="s">
        <v>992</v>
      </c>
      <c r="AB16" s="37" t="s">
        <v>993</v>
      </c>
      <c r="AC16" s="37" t="s">
        <v>994</v>
      </c>
      <c r="AD16" s="37" t="s">
        <v>995</v>
      </c>
      <c r="AE16" s="37" t="s">
        <v>996</v>
      </c>
      <c r="AF16" s="37" t="s">
        <v>997</v>
      </c>
      <c r="AG16" s="37" t="s">
        <v>998</v>
      </c>
      <c r="AH16" s="37" t="s">
        <v>999</v>
      </c>
      <c r="AI16" s="37" t="s">
        <v>1000</v>
      </c>
      <c r="AJ16" s="37" t="s">
        <v>1001</v>
      </c>
      <c r="AK16" s="37" t="s">
        <v>1002</v>
      </c>
      <c r="AL16" s="37" t="s">
        <v>1003</v>
      </c>
      <c r="AM16" s="37" t="s">
        <v>1004</v>
      </c>
      <c r="AN16" s="37" t="s">
        <v>1005</v>
      </c>
      <c r="AO16" s="37" t="s">
        <v>1006</v>
      </c>
      <c r="AP16" s="37" t="s">
        <v>1007</v>
      </c>
      <c r="AQ16" s="37" t="s">
        <v>1008</v>
      </c>
      <c r="AR16" s="37" t="s">
        <v>1009</v>
      </c>
      <c r="AS16" s="37" t="s">
        <v>1010</v>
      </c>
      <c r="AT16" s="37" t="s">
        <v>1011</v>
      </c>
      <c r="AU16" s="37" t="s">
        <v>1012</v>
      </c>
      <c r="AV16" s="37" t="s">
        <v>1013</v>
      </c>
      <c r="AW16" s="37" t="s">
        <v>1014</v>
      </c>
      <c r="AX16" s="37" t="s">
        <v>1015</v>
      </c>
      <c r="AY16" s="37" t="s">
        <v>1016</v>
      </c>
      <c r="AZ16" s="37" t="s">
        <v>1017</v>
      </c>
      <c r="BA16" s="37" t="s">
        <v>1018</v>
      </c>
      <c r="BB16" s="19" t="s">
        <v>962</v>
      </c>
      <c r="BC16" t="s">
        <v>966</v>
      </c>
      <c r="BD16" s="20" t="s">
        <v>965</v>
      </c>
      <c r="BE16" t="s">
        <v>967</v>
      </c>
      <c r="BF16" t="s">
        <v>964</v>
      </c>
      <c r="BG16" t="s">
        <v>963</v>
      </c>
      <c r="BH16" t="s">
        <v>961</v>
      </c>
      <c r="BI16" t="s">
        <v>960</v>
      </c>
    </row>
    <row r="17" spans="1:61">
      <c r="A17" t="s">
        <v>1071</v>
      </c>
      <c r="B17" s="37" t="s">
        <v>1019</v>
      </c>
      <c r="C17" s="37" t="s">
        <v>1020</v>
      </c>
      <c r="D17" s="37" t="s">
        <v>1021</v>
      </c>
      <c r="E17" s="37" t="s">
        <v>1022</v>
      </c>
      <c r="F17" s="37" t="s">
        <v>1023</v>
      </c>
      <c r="G17" s="37" t="s">
        <v>1024</v>
      </c>
      <c r="H17" s="37" t="s">
        <v>1025</v>
      </c>
      <c r="I17" s="37" t="s">
        <v>1026</v>
      </c>
      <c r="J17" s="37" t="s">
        <v>1027</v>
      </c>
      <c r="K17" s="37" t="s">
        <v>1028</v>
      </c>
      <c r="L17" s="37" t="s">
        <v>1029</v>
      </c>
      <c r="M17" s="37" t="s">
        <v>1030</v>
      </c>
      <c r="N17" s="37" t="s">
        <v>1031</v>
      </c>
      <c r="O17" s="37" t="s">
        <v>1032</v>
      </c>
      <c r="P17" s="37" t="s">
        <v>1033</v>
      </c>
      <c r="Q17" s="37" t="s">
        <v>1034</v>
      </c>
      <c r="R17" s="37" t="s">
        <v>1035</v>
      </c>
      <c r="S17" s="37" t="s">
        <v>1036</v>
      </c>
      <c r="T17" s="37" t="s">
        <v>1037</v>
      </c>
      <c r="U17" s="37" t="s">
        <v>1038</v>
      </c>
      <c r="V17" s="37" t="s">
        <v>1039</v>
      </c>
      <c r="W17" s="37" t="s">
        <v>1040</v>
      </c>
      <c r="X17" s="37" t="s">
        <v>1041</v>
      </c>
      <c r="Y17" s="37" t="s">
        <v>1042</v>
      </c>
      <c r="Z17" s="37" t="s">
        <v>1043</v>
      </c>
      <c r="AA17" s="37" t="s">
        <v>1044</v>
      </c>
      <c r="AB17" s="37" t="s">
        <v>1045</v>
      </c>
      <c r="AC17" s="37" t="s">
        <v>1046</v>
      </c>
      <c r="AD17" s="37" t="s">
        <v>1047</v>
      </c>
      <c r="AE17" s="37" t="s">
        <v>1048</v>
      </c>
      <c r="AF17" s="37" t="s">
        <v>1049</v>
      </c>
      <c r="AG17" s="37" t="s">
        <v>1050</v>
      </c>
      <c r="AH17" s="37" t="s">
        <v>1051</v>
      </c>
      <c r="AI17" s="37" t="s">
        <v>1052</v>
      </c>
      <c r="AJ17" s="37" t="s">
        <v>1053</v>
      </c>
      <c r="AK17" s="37" t="s">
        <v>1054</v>
      </c>
      <c r="AL17" s="37" t="s">
        <v>1055</v>
      </c>
      <c r="AM17" s="37" t="s">
        <v>1056</v>
      </c>
      <c r="AN17" s="37" t="s">
        <v>1057</v>
      </c>
      <c r="AO17" s="37" t="s">
        <v>1058</v>
      </c>
      <c r="AP17" s="37" t="s">
        <v>1059</v>
      </c>
      <c r="AQ17" s="37" t="s">
        <v>1060</v>
      </c>
      <c r="AR17" s="37" t="s">
        <v>1061</v>
      </c>
      <c r="AS17" s="37" t="s">
        <v>1062</v>
      </c>
      <c r="AT17" s="37" t="s">
        <v>1063</v>
      </c>
      <c r="AU17" s="37" t="s">
        <v>1064</v>
      </c>
      <c r="AV17" s="37" t="s">
        <v>1065</v>
      </c>
      <c r="AW17" s="37" t="s">
        <v>1066</v>
      </c>
      <c r="AX17" s="37" t="s">
        <v>1067</v>
      </c>
      <c r="AY17" s="37" t="s">
        <v>1068</v>
      </c>
      <c r="AZ17" s="37" t="s">
        <v>1069</v>
      </c>
      <c r="BA17" s="37" t="s">
        <v>1070</v>
      </c>
      <c r="BB17" s="37" t="s">
        <v>1072</v>
      </c>
      <c r="BC17" t="s">
        <v>1073</v>
      </c>
      <c r="BD17" s="20" t="s">
        <v>1074</v>
      </c>
      <c r="BE17" t="s">
        <v>1075</v>
      </c>
      <c r="BF17" t="s">
        <v>1076</v>
      </c>
      <c r="BG17" t="s">
        <v>1077</v>
      </c>
      <c r="BH17" t="s">
        <v>1078</v>
      </c>
      <c r="BI17" t="s">
        <v>1079</v>
      </c>
    </row>
    <row r="18" spans="1:61">
      <c r="A18" t="s">
        <v>1080</v>
      </c>
      <c r="B18" s="37" t="s">
        <v>1081</v>
      </c>
      <c r="C18" s="37" t="s">
        <v>1082</v>
      </c>
      <c r="D18" s="37" t="s">
        <v>1083</v>
      </c>
      <c r="E18" s="37" t="s">
        <v>1084</v>
      </c>
      <c r="F18" s="37" t="s">
        <v>1085</v>
      </c>
      <c r="G18" s="37" t="s">
        <v>1086</v>
      </c>
      <c r="H18" s="37" t="s">
        <v>1087</v>
      </c>
      <c r="I18" s="37" t="s">
        <v>1088</v>
      </c>
      <c r="J18" s="37" t="s">
        <v>1089</v>
      </c>
      <c r="K18" s="37" t="s">
        <v>1090</v>
      </c>
      <c r="L18" s="37" t="s">
        <v>1086</v>
      </c>
      <c r="M18" s="37" t="s">
        <v>1091</v>
      </c>
      <c r="N18" s="37" t="s">
        <v>1092</v>
      </c>
      <c r="O18" s="37" t="s">
        <v>1093</v>
      </c>
      <c r="P18" s="37" t="s">
        <v>1094</v>
      </c>
      <c r="Q18" s="37" t="s">
        <v>1095</v>
      </c>
      <c r="R18" s="37" t="s">
        <v>1096</v>
      </c>
      <c r="S18" s="37" t="s">
        <v>1097</v>
      </c>
      <c r="T18" s="37" t="s">
        <v>1098</v>
      </c>
      <c r="U18" s="37" t="s">
        <v>1099</v>
      </c>
      <c r="V18" s="37" t="s">
        <v>1100</v>
      </c>
      <c r="W18" s="37" t="s">
        <v>1101</v>
      </c>
      <c r="X18" s="37" t="s">
        <v>1102</v>
      </c>
      <c r="Y18" s="37" t="s">
        <v>1103</v>
      </c>
      <c r="Z18" s="37" t="s">
        <v>1104</v>
      </c>
      <c r="AA18" s="37" t="s">
        <v>1105</v>
      </c>
      <c r="AB18" s="37" t="s">
        <v>1106</v>
      </c>
      <c r="AC18" s="37" t="s">
        <v>1082</v>
      </c>
      <c r="AD18" s="37" t="s">
        <v>1107</v>
      </c>
      <c r="AE18" s="37" t="s">
        <v>1108</v>
      </c>
      <c r="AF18" s="37" t="s">
        <v>1109</v>
      </c>
      <c r="AG18" s="37" t="s">
        <v>1110</v>
      </c>
      <c r="AH18" s="37" t="s">
        <v>1111</v>
      </c>
      <c r="AI18" s="37" t="s">
        <v>1112</v>
      </c>
      <c r="AJ18" s="37" t="s">
        <v>1113</v>
      </c>
      <c r="AK18" s="37" t="s">
        <v>1114</v>
      </c>
      <c r="AL18" s="37" t="s">
        <v>1115</v>
      </c>
      <c r="AM18" s="37" t="s">
        <v>1116</v>
      </c>
      <c r="AN18" s="37" t="s">
        <v>1117</v>
      </c>
      <c r="AO18" s="37" t="s">
        <v>1118</v>
      </c>
      <c r="AP18" s="37" t="s">
        <v>1119</v>
      </c>
      <c r="AQ18" s="37" t="s">
        <v>1120</v>
      </c>
      <c r="AR18" s="37" t="s">
        <v>1121</v>
      </c>
      <c r="AS18" s="37" t="s">
        <v>1122</v>
      </c>
      <c r="AT18" s="37" t="s">
        <v>1123</v>
      </c>
      <c r="AU18" s="37" t="s">
        <v>1124</v>
      </c>
      <c r="AV18" s="37" t="s">
        <v>1125</v>
      </c>
      <c r="AW18" s="37" t="s">
        <v>1126</v>
      </c>
      <c r="AX18" s="37" t="s">
        <v>1127</v>
      </c>
      <c r="AY18" s="37" t="s">
        <v>1128</v>
      </c>
      <c r="AZ18" s="37" t="s">
        <v>1129</v>
      </c>
      <c r="BA18" s="37" t="s">
        <v>1130</v>
      </c>
      <c r="BB18" t="s">
        <v>1131</v>
      </c>
      <c r="BC18" t="s">
        <v>1132</v>
      </c>
      <c r="BD18" t="s">
        <v>1133</v>
      </c>
      <c r="BE18" t="s">
        <v>1134</v>
      </c>
      <c r="BF18" t="s">
        <v>1136</v>
      </c>
      <c r="BG18" t="s">
        <v>1135</v>
      </c>
      <c r="BH18" t="s">
        <v>1137</v>
      </c>
      <c r="BI18" t="s">
        <v>1138</v>
      </c>
    </row>
    <row r="19" spans="1:61">
      <c r="A19" t="s">
        <v>1139</v>
      </c>
      <c r="B19" s="37" t="s">
        <v>1140</v>
      </c>
      <c r="C19" s="37" t="s">
        <v>1141</v>
      </c>
      <c r="D19" s="37" t="s">
        <v>1142</v>
      </c>
      <c r="E19" s="37" t="s">
        <v>1143</v>
      </c>
      <c r="F19" s="37" t="s">
        <v>1144</v>
      </c>
      <c r="G19" s="37" t="s">
        <v>1145</v>
      </c>
      <c r="H19" s="37" t="s">
        <v>1146</v>
      </c>
      <c r="I19" s="37" t="s">
        <v>1147</v>
      </c>
      <c r="J19" s="37" t="s">
        <v>1148</v>
      </c>
      <c r="K19" s="37" t="s">
        <v>1149</v>
      </c>
      <c r="L19" s="37" t="s">
        <v>1150</v>
      </c>
      <c r="M19" s="37" t="s">
        <v>1151</v>
      </c>
      <c r="N19" s="37" t="s">
        <v>1152</v>
      </c>
      <c r="O19" s="37" t="s">
        <v>1151</v>
      </c>
      <c r="P19" s="37" t="s">
        <v>1153</v>
      </c>
      <c r="Q19" s="37" t="s">
        <v>1154</v>
      </c>
      <c r="R19" s="37" t="s">
        <v>1155</v>
      </c>
      <c r="S19" s="37" t="s">
        <v>1156</v>
      </c>
      <c r="T19" s="37" t="s">
        <v>1157</v>
      </c>
      <c r="U19" s="37" t="s">
        <v>1158</v>
      </c>
      <c r="V19" s="37" t="s">
        <v>1159</v>
      </c>
      <c r="W19" s="37" t="s">
        <v>1160</v>
      </c>
      <c r="X19" s="37" t="s">
        <v>1161</v>
      </c>
      <c r="Y19" s="37" t="s">
        <v>1162</v>
      </c>
      <c r="Z19" s="37" t="s">
        <v>1163</v>
      </c>
      <c r="AA19" s="37" t="s">
        <v>1164</v>
      </c>
      <c r="AB19" s="37" t="s">
        <v>1165</v>
      </c>
      <c r="AC19" s="37" t="s">
        <v>1166</v>
      </c>
      <c r="AD19" s="37" t="s">
        <v>1167</v>
      </c>
      <c r="AE19" s="37" t="s">
        <v>1168</v>
      </c>
      <c r="AF19" s="37" t="s">
        <v>1169</v>
      </c>
      <c r="AG19" s="37" t="s">
        <v>1170</v>
      </c>
      <c r="AH19" s="37" t="s">
        <v>1171</v>
      </c>
      <c r="AI19" s="37" t="s">
        <v>1172</v>
      </c>
      <c r="AJ19" s="37" t="s">
        <v>1173</v>
      </c>
      <c r="AK19" s="37" t="s">
        <v>1174</v>
      </c>
      <c r="AL19" s="37" t="s">
        <v>1175</v>
      </c>
      <c r="AM19" s="37" t="s">
        <v>1176</v>
      </c>
      <c r="AN19" s="37" t="s">
        <v>1177</v>
      </c>
      <c r="AO19" s="37" t="s">
        <v>1178</v>
      </c>
      <c r="AP19" s="37" t="s">
        <v>1179</v>
      </c>
      <c r="AQ19" s="37" t="s">
        <v>1180</v>
      </c>
      <c r="AR19" s="37" t="s">
        <v>1181</v>
      </c>
      <c r="AS19" s="37" t="s">
        <v>1182</v>
      </c>
      <c r="AT19" s="37" t="s">
        <v>1183</v>
      </c>
      <c r="AU19" s="37" t="s">
        <v>1184</v>
      </c>
      <c r="AV19" s="37" t="s">
        <v>1185</v>
      </c>
      <c r="AW19" s="37" t="s">
        <v>1186</v>
      </c>
      <c r="AX19" s="37" t="s">
        <v>1187</v>
      </c>
      <c r="AY19" s="37" t="s">
        <v>1188</v>
      </c>
      <c r="AZ19" s="37" t="s">
        <v>1189</v>
      </c>
      <c r="BA19" s="37" t="s">
        <v>1190</v>
      </c>
      <c r="BB19" s="20" t="s">
        <v>1191</v>
      </c>
      <c r="BC19" t="s">
        <v>1192</v>
      </c>
      <c r="BD19" t="s">
        <v>1193</v>
      </c>
      <c r="BE19" t="s">
        <v>1194</v>
      </c>
      <c r="BF19" t="s">
        <v>1195</v>
      </c>
      <c r="BG19" t="s">
        <v>1196</v>
      </c>
      <c r="BH19" t="s">
        <v>1197</v>
      </c>
      <c r="BI19" t="s">
        <v>1198</v>
      </c>
    </row>
    <row r="20" spans="1:61">
      <c r="A20" t="s">
        <v>1215</v>
      </c>
      <c r="B20" s="37" t="s">
        <v>1261</v>
      </c>
      <c r="C20" s="37" t="s">
        <v>1216</v>
      </c>
      <c r="D20" s="37" t="s">
        <v>1217</v>
      </c>
      <c r="E20" s="37" t="s">
        <v>1218</v>
      </c>
      <c r="F20" s="37" t="s">
        <v>1219</v>
      </c>
      <c r="G20" s="37" t="s">
        <v>1220</v>
      </c>
      <c r="H20" s="37" t="s">
        <v>1221</v>
      </c>
      <c r="I20" s="37" t="s">
        <v>1222</v>
      </c>
      <c r="J20" s="37" t="s">
        <v>1223</v>
      </c>
      <c r="K20" s="37" t="s">
        <v>1224</v>
      </c>
      <c r="L20" s="37" t="s">
        <v>1220</v>
      </c>
      <c r="M20" s="37" t="s">
        <v>1225</v>
      </c>
      <c r="N20" s="37" t="s">
        <v>1226</v>
      </c>
      <c r="O20" s="37" t="s">
        <v>1227</v>
      </c>
      <c r="P20" s="37" t="s">
        <v>1228</v>
      </c>
      <c r="Q20" s="37" t="s">
        <v>1229</v>
      </c>
      <c r="R20" s="37" t="s">
        <v>1230</v>
      </c>
      <c r="S20" s="37" t="s">
        <v>1231</v>
      </c>
      <c r="T20" s="37" t="s">
        <v>1232</v>
      </c>
      <c r="U20" s="37" t="s">
        <v>1233</v>
      </c>
      <c r="V20" s="37" t="s">
        <v>1234</v>
      </c>
      <c r="W20" s="37" t="s">
        <v>1262</v>
      </c>
      <c r="X20" s="37" t="s">
        <v>1235</v>
      </c>
      <c r="Y20" s="37" t="s">
        <v>1236</v>
      </c>
      <c r="Z20" s="37" t="s">
        <v>1237</v>
      </c>
      <c r="AA20" s="37" t="s">
        <v>1238</v>
      </c>
      <c r="AB20" s="37" t="s">
        <v>1239</v>
      </c>
      <c r="AC20" s="37" t="s">
        <v>1216</v>
      </c>
      <c r="AD20" s="37" t="s">
        <v>1240</v>
      </c>
      <c r="AE20" s="37" t="s">
        <v>1241</v>
      </c>
      <c r="AF20" s="37" t="s">
        <v>1242</v>
      </c>
      <c r="AG20" s="37" t="s">
        <v>1216</v>
      </c>
      <c r="AH20" s="37" t="s">
        <v>1243</v>
      </c>
      <c r="AI20" s="37" t="s">
        <v>1244</v>
      </c>
      <c r="AJ20" s="37" t="s">
        <v>1245</v>
      </c>
      <c r="AK20" s="37" t="s">
        <v>1246</v>
      </c>
      <c r="AL20" s="37" t="s">
        <v>1247</v>
      </c>
      <c r="AM20" s="37" t="s">
        <v>1248</v>
      </c>
      <c r="AN20" s="37" t="s">
        <v>2143</v>
      </c>
      <c r="AO20" t="s">
        <v>2144</v>
      </c>
      <c r="AP20" s="37" t="s">
        <v>1249</v>
      </c>
      <c r="AQ20" s="37" t="s">
        <v>1250</v>
      </c>
      <c r="AR20" s="37" t="s">
        <v>1251</v>
      </c>
      <c r="AS20" s="37" t="s">
        <v>1252</v>
      </c>
      <c r="AT20" s="37" t="s">
        <v>1253</v>
      </c>
      <c r="AU20" s="37" t="s">
        <v>1254</v>
      </c>
      <c r="AV20" s="37" t="s">
        <v>1255</v>
      </c>
      <c r="AW20" s="37" t="s">
        <v>1256</v>
      </c>
      <c r="AX20" s="37" t="s">
        <v>1257</v>
      </c>
      <c r="AY20" s="37" t="s">
        <v>1258</v>
      </c>
      <c r="AZ20" s="37" t="s">
        <v>1259</v>
      </c>
      <c r="BA20" s="37" t="s">
        <v>1260</v>
      </c>
      <c r="BB20" s="37" t="s">
        <v>1263</v>
      </c>
      <c r="BC20" t="s">
        <v>1265</v>
      </c>
      <c r="BD20" t="s">
        <v>1264</v>
      </c>
      <c r="BE20" t="s">
        <v>1266</v>
      </c>
      <c r="BF20" t="s">
        <v>1267</v>
      </c>
      <c r="BG20" t="s">
        <v>1268</v>
      </c>
      <c r="BH20" t="s">
        <v>2139</v>
      </c>
      <c r="BI20" t="s">
        <v>2140</v>
      </c>
    </row>
    <row r="21" spans="1:61">
      <c r="A21" t="s">
        <v>1292</v>
      </c>
      <c r="B21" s="37" t="s">
        <v>1293</v>
      </c>
      <c r="C21" s="37" t="s">
        <v>1294</v>
      </c>
      <c r="D21" s="37" t="s">
        <v>1295</v>
      </c>
      <c r="E21" s="37" t="s">
        <v>1296</v>
      </c>
      <c r="F21" s="37" t="s">
        <v>1297</v>
      </c>
      <c r="G21" s="37" t="s">
        <v>1298</v>
      </c>
      <c r="H21" s="37" t="s">
        <v>1299</v>
      </c>
      <c r="I21" s="37" t="s">
        <v>1300</v>
      </c>
      <c r="J21" s="37" t="s">
        <v>1301</v>
      </c>
      <c r="K21" s="37" t="s">
        <v>1302</v>
      </c>
      <c r="L21" s="37" t="s">
        <v>1303</v>
      </c>
      <c r="M21" s="37" t="s">
        <v>1304</v>
      </c>
      <c r="N21" s="37" t="s">
        <v>1305</v>
      </c>
      <c r="O21" s="37" t="s">
        <v>1306</v>
      </c>
      <c r="P21" s="37" t="s">
        <v>1307</v>
      </c>
      <c r="Q21" s="37" t="s">
        <v>1308</v>
      </c>
      <c r="R21" s="37" t="s">
        <v>1309</v>
      </c>
      <c r="S21" s="37" t="s">
        <v>1310</v>
      </c>
      <c r="T21" s="37" t="s">
        <v>1311</v>
      </c>
      <c r="U21" s="37" t="s">
        <v>1312</v>
      </c>
      <c r="V21" s="37" t="s">
        <v>1313</v>
      </c>
      <c r="W21" s="37" t="s">
        <v>1314</v>
      </c>
      <c r="X21" s="37" t="s">
        <v>1315</v>
      </c>
      <c r="Y21" s="37" t="s">
        <v>1316</v>
      </c>
      <c r="Z21" s="37" t="s">
        <v>1317</v>
      </c>
      <c r="AA21" s="37" t="s">
        <v>1318</v>
      </c>
      <c r="AB21" s="37" t="s">
        <v>1319</v>
      </c>
      <c r="AC21" s="37" t="s">
        <v>1320</v>
      </c>
      <c r="AD21" s="37" t="s">
        <v>1321</v>
      </c>
      <c r="AE21" s="37" t="s">
        <v>1322</v>
      </c>
      <c r="AF21" s="37" t="s">
        <v>1323</v>
      </c>
      <c r="AG21" s="37" t="s">
        <v>1324</v>
      </c>
      <c r="AH21" s="37" t="s">
        <v>1325</v>
      </c>
      <c r="AI21" s="37" t="s">
        <v>1326</v>
      </c>
      <c r="AJ21" s="37" t="s">
        <v>1327</v>
      </c>
      <c r="AK21" s="37" t="s">
        <v>1328</v>
      </c>
      <c r="AL21" s="37" t="s">
        <v>1329</v>
      </c>
      <c r="AM21" s="37" t="s">
        <v>1330</v>
      </c>
      <c r="AN21" s="37" t="s">
        <v>1331</v>
      </c>
      <c r="AO21" s="37" t="s">
        <v>1332</v>
      </c>
      <c r="AP21" s="37" t="s">
        <v>1333</v>
      </c>
      <c r="AQ21" s="37" t="s">
        <v>1334</v>
      </c>
      <c r="AR21" s="37" t="s">
        <v>1335</v>
      </c>
      <c r="AS21" s="37" t="s">
        <v>1336</v>
      </c>
      <c r="AT21" s="37" t="s">
        <v>1337</v>
      </c>
      <c r="AU21" s="37" t="s">
        <v>1338</v>
      </c>
      <c r="AV21" s="37" t="s">
        <v>1339</v>
      </c>
      <c r="AW21" s="37" t="s">
        <v>1340</v>
      </c>
      <c r="AX21" s="37" t="s">
        <v>1341</v>
      </c>
      <c r="AY21" s="37" t="s">
        <v>1342</v>
      </c>
      <c r="AZ21" s="37" t="s">
        <v>1343</v>
      </c>
      <c r="BA21" s="37" t="s">
        <v>1344</v>
      </c>
      <c r="BB21" s="21" t="s">
        <v>1345</v>
      </c>
      <c r="BC21" t="s">
        <v>1346</v>
      </c>
      <c r="BD21" t="s">
        <v>1347</v>
      </c>
      <c r="BE21" t="s">
        <v>1348</v>
      </c>
      <c r="BF21" t="s">
        <v>1349</v>
      </c>
      <c r="BG21" t="s">
        <v>1350</v>
      </c>
      <c r="BH21" t="s">
        <v>1351</v>
      </c>
      <c r="BI21" t="s">
        <v>1352</v>
      </c>
    </row>
    <row r="22" spans="1:61">
      <c r="A22" t="s">
        <v>1354</v>
      </c>
      <c r="B22" s="37" t="s">
        <v>1355</v>
      </c>
      <c r="C22" s="37" t="s">
        <v>1356</v>
      </c>
      <c r="D22" s="37" t="s">
        <v>1357</v>
      </c>
      <c r="E22" s="37" t="s">
        <v>1358</v>
      </c>
      <c r="F22" s="37" t="s">
        <v>1359</v>
      </c>
      <c r="G22" s="37" t="s">
        <v>1360</v>
      </c>
      <c r="H22" s="37" t="s">
        <v>579</v>
      </c>
      <c r="I22" s="37" t="s">
        <v>1361</v>
      </c>
      <c r="J22" s="37" t="s">
        <v>1362</v>
      </c>
      <c r="K22" s="37" t="s">
        <v>1363</v>
      </c>
      <c r="L22" s="37" t="s">
        <v>583</v>
      </c>
      <c r="M22" s="37" t="s">
        <v>1356</v>
      </c>
      <c r="N22" s="37" t="s">
        <v>1364</v>
      </c>
      <c r="O22" s="37" t="s">
        <v>1365</v>
      </c>
      <c r="P22" s="37" t="s">
        <v>1366</v>
      </c>
      <c r="Q22" s="37" t="s">
        <v>1367</v>
      </c>
      <c r="R22" s="37" t="s">
        <v>589</v>
      </c>
      <c r="S22" s="37" t="s">
        <v>1368</v>
      </c>
      <c r="T22" s="37" t="s">
        <v>1369</v>
      </c>
      <c r="U22" s="37" t="s">
        <v>1370</v>
      </c>
      <c r="V22" s="37" t="s">
        <v>1371</v>
      </c>
      <c r="W22" s="37" t="s">
        <v>1372</v>
      </c>
      <c r="X22" s="37" t="s">
        <v>595</v>
      </c>
      <c r="Y22" s="37" t="s">
        <v>1373</v>
      </c>
      <c r="Z22" s="37" t="s">
        <v>1374</v>
      </c>
      <c r="AA22" s="37" t="s">
        <v>1375</v>
      </c>
      <c r="AB22" s="37" t="s">
        <v>599</v>
      </c>
      <c r="AC22" s="37" t="s">
        <v>1376</v>
      </c>
      <c r="AD22" s="37" t="s">
        <v>1377</v>
      </c>
      <c r="AE22" s="37" t="s">
        <v>1378</v>
      </c>
      <c r="AF22" s="37" t="s">
        <v>1379</v>
      </c>
      <c r="AG22" s="37" t="s">
        <v>574</v>
      </c>
      <c r="AH22" s="37" t="s">
        <v>1380</v>
      </c>
      <c r="AI22" s="37" t="s">
        <v>1381</v>
      </c>
      <c r="AJ22" s="37" t="s">
        <v>1382</v>
      </c>
      <c r="AK22" s="37" t="s">
        <v>1383</v>
      </c>
      <c r="AL22" s="37" t="s">
        <v>1384</v>
      </c>
      <c r="AM22" s="37" t="s">
        <v>1385</v>
      </c>
      <c r="AN22" s="37" t="s">
        <v>1386</v>
      </c>
      <c r="AO22" s="37" t="s">
        <v>1387</v>
      </c>
      <c r="AP22" s="37" t="s">
        <v>613</v>
      </c>
      <c r="AQ22" s="37" t="s">
        <v>1388</v>
      </c>
      <c r="AR22" s="37" t="s">
        <v>1389</v>
      </c>
      <c r="AS22" s="37" t="s">
        <v>1390</v>
      </c>
      <c r="AT22" s="37" t="s">
        <v>1391</v>
      </c>
      <c r="AU22" s="37" t="s">
        <v>1392</v>
      </c>
      <c r="AV22" s="37" t="s">
        <v>586</v>
      </c>
      <c r="AW22" s="37" t="s">
        <v>585</v>
      </c>
      <c r="AX22" s="37" t="s">
        <v>1393</v>
      </c>
      <c r="AY22" s="37" t="s">
        <v>1394</v>
      </c>
      <c r="AZ22" s="37" t="s">
        <v>623</v>
      </c>
      <c r="BA22" s="37" t="s">
        <v>624</v>
      </c>
      <c r="BB22" t="s">
        <v>1395</v>
      </c>
      <c r="BC22" t="s">
        <v>626</v>
      </c>
      <c r="BD22" t="s">
        <v>1396</v>
      </c>
      <c r="BE22" t="s">
        <v>1397</v>
      </c>
      <c r="BF22" t="s">
        <v>1400</v>
      </c>
      <c r="BG22" t="s">
        <v>1401</v>
      </c>
      <c r="BH22" t="s">
        <v>1398</v>
      </c>
      <c r="BI22" t="s">
        <v>1399</v>
      </c>
    </row>
    <row r="23" spans="1:61">
      <c r="A23" t="s">
        <v>1402</v>
      </c>
      <c r="B23" s="37" t="s">
        <v>1453</v>
      </c>
      <c r="C23" s="37" t="s">
        <v>1403</v>
      </c>
      <c r="D23" s="37" t="s">
        <v>1404</v>
      </c>
      <c r="E23" s="37" t="s">
        <v>1405</v>
      </c>
      <c r="F23" s="37" t="s">
        <v>1406</v>
      </c>
      <c r="G23" s="37" t="s">
        <v>1407</v>
      </c>
      <c r="H23" s="37" t="s">
        <v>1408</v>
      </c>
      <c r="I23" s="37" t="s">
        <v>1409</v>
      </c>
      <c r="J23" s="37" t="s">
        <v>1410</v>
      </c>
      <c r="K23" s="37" t="s">
        <v>1411</v>
      </c>
      <c r="L23" s="37" t="s">
        <v>1412</v>
      </c>
      <c r="M23" s="37" t="s">
        <v>1454</v>
      </c>
      <c r="N23" s="37" t="s">
        <v>1414</v>
      </c>
      <c r="O23" s="37" t="s">
        <v>1413</v>
      </c>
      <c r="P23" s="37" t="s">
        <v>1415</v>
      </c>
      <c r="Q23" s="37" t="s">
        <v>1416</v>
      </c>
      <c r="R23" s="37" t="s">
        <v>1417</v>
      </c>
      <c r="S23" s="37" t="s">
        <v>1418</v>
      </c>
      <c r="T23" s="37" t="s">
        <v>1419</v>
      </c>
      <c r="U23" s="37" t="s">
        <v>1420</v>
      </c>
      <c r="V23" s="37" t="s">
        <v>1421</v>
      </c>
      <c r="W23" s="37" t="s">
        <v>1422</v>
      </c>
      <c r="X23" s="37" t="s">
        <v>1423</v>
      </c>
      <c r="Y23" s="37" t="s">
        <v>1424</v>
      </c>
      <c r="Z23" s="37" t="s">
        <v>1425</v>
      </c>
      <c r="AA23" s="37" t="s">
        <v>1426</v>
      </c>
      <c r="AB23" s="37" t="s">
        <v>1427</v>
      </c>
      <c r="AC23" s="37" t="s">
        <v>1428</v>
      </c>
      <c r="AD23" s="37" t="s">
        <v>1429</v>
      </c>
      <c r="AE23" s="37" t="s">
        <v>1430</v>
      </c>
      <c r="AF23" s="37" t="s">
        <v>1431</v>
      </c>
      <c r="AG23" s="37" t="s">
        <v>1411</v>
      </c>
      <c r="AH23" s="37" t="s">
        <v>1432</v>
      </c>
      <c r="AI23" s="37" t="s">
        <v>1433</v>
      </c>
      <c r="AJ23" s="37" t="s">
        <v>1434</v>
      </c>
      <c r="AK23" s="37" t="s">
        <v>1435</v>
      </c>
      <c r="AL23" s="37" t="s">
        <v>1436</v>
      </c>
      <c r="AM23" s="37" t="s">
        <v>1437</v>
      </c>
      <c r="AN23" s="37" t="s">
        <v>1438</v>
      </c>
      <c r="AO23" s="37" t="s">
        <v>1455</v>
      </c>
      <c r="AP23" s="37" t="s">
        <v>1439</v>
      </c>
      <c r="AQ23" s="37" t="s">
        <v>1440</v>
      </c>
      <c r="AR23" s="37" t="s">
        <v>1456</v>
      </c>
      <c r="AS23" s="37" t="s">
        <v>1441</v>
      </c>
      <c r="AT23" s="37" t="s">
        <v>1442</v>
      </c>
      <c r="AU23" s="37" t="s">
        <v>1443</v>
      </c>
      <c r="AV23" s="37" t="s">
        <v>1457</v>
      </c>
      <c r="AW23" s="37" t="s">
        <v>1458</v>
      </c>
      <c r="AX23" s="37" t="s">
        <v>1444</v>
      </c>
      <c r="AY23" s="37" t="s">
        <v>1445</v>
      </c>
      <c r="AZ23" s="37" t="s">
        <v>1459</v>
      </c>
      <c r="BA23" s="37" t="s">
        <v>1446</v>
      </c>
      <c r="BB23" s="127" t="s">
        <v>1447</v>
      </c>
      <c r="BC23" s="127" t="s">
        <v>1448</v>
      </c>
      <c r="BD23" s="127" t="s">
        <v>1449</v>
      </c>
      <c r="BE23" s="128" t="s">
        <v>1450</v>
      </c>
      <c r="BF23" s="128" t="s">
        <v>1460</v>
      </c>
      <c r="BG23" s="127" t="s">
        <v>1461</v>
      </c>
      <c r="BH23" t="s">
        <v>1451</v>
      </c>
      <c r="BI23" t="s">
        <v>1452</v>
      </c>
    </row>
    <row r="24" spans="1:61">
      <c r="A24" t="s">
        <v>1464</v>
      </c>
      <c r="B24" t="s">
        <v>1465</v>
      </c>
      <c r="C24" t="s">
        <v>1466</v>
      </c>
      <c r="D24" t="s">
        <v>1467</v>
      </c>
      <c r="E24" t="s">
        <v>1468</v>
      </c>
      <c r="F24" t="s">
        <v>1469</v>
      </c>
      <c r="G24" t="s">
        <v>1470</v>
      </c>
      <c r="H24" t="s">
        <v>1471</v>
      </c>
      <c r="I24" t="s">
        <v>1472</v>
      </c>
      <c r="J24" t="s">
        <v>1473</v>
      </c>
      <c r="K24" t="s">
        <v>1474</v>
      </c>
      <c r="L24" t="s">
        <v>1475</v>
      </c>
      <c r="M24" t="s">
        <v>1476</v>
      </c>
      <c r="N24" t="s">
        <v>1477</v>
      </c>
      <c r="O24" t="s">
        <v>1478</v>
      </c>
      <c r="P24" t="s">
        <v>1479</v>
      </c>
      <c r="Q24" t="s">
        <v>1480</v>
      </c>
      <c r="R24" t="s">
        <v>1481</v>
      </c>
      <c r="S24" t="s">
        <v>1482</v>
      </c>
      <c r="T24" t="s">
        <v>1483</v>
      </c>
      <c r="U24" t="s">
        <v>1484</v>
      </c>
      <c r="V24" t="s">
        <v>1485</v>
      </c>
      <c r="W24" t="s">
        <v>1486</v>
      </c>
      <c r="X24" t="s">
        <v>1487</v>
      </c>
      <c r="Y24" t="s">
        <v>1488</v>
      </c>
      <c r="Z24" t="s">
        <v>1489</v>
      </c>
      <c r="AA24" t="s">
        <v>1490</v>
      </c>
      <c r="AB24" t="s">
        <v>1491</v>
      </c>
      <c r="AC24" t="s">
        <v>1492</v>
      </c>
      <c r="AD24" t="s">
        <v>1493</v>
      </c>
      <c r="AE24" t="s">
        <v>1494</v>
      </c>
      <c r="AF24" t="s">
        <v>1495</v>
      </c>
      <c r="AG24" t="s">
        <v>1496</v>
      </c>
      <c r="AH24" t="s">
        <v>1497</v>
      </c>
      <c r="AI24" t="s">
        <v>1498</v>
      </c>
      <c r="AJ24" t="s">
        <v>1499</v>
      </c>
      <c r="AK24" t="s">
        <v>1500</v>
      </c>
      <c r="AL24" t="s">
        <v>1501</v>
      </c>
      <c r="AM24" t="s">
        <v>1502</v>
      </c>
      <c r="AN24" t="s">
        <v>1503</v>
      </c>
      <c r="AO24" t="s">
        <v>1504</v>
      </c>
      <c r="AP24" t="s">
        <v>1505</v>
      </c>
      <c r="AQ24" t="s">
        <v>1506</v>
      </c>
      <c r="AR24" t="s">
        <v>1507</v>
      </c>
      <c r="AS24" t="s">
        <v>1508</v>
      </c>
      <c r="AT24" t="s">
        <v>1509</v>
      </c>
      <c r="AU24" t="s">
        <v>1510</v>
      </c>
      <c r="AV24" t="s">
        <v>1511</v>
      </c>
      <c r="AW24" t="s">
        <v>1512</v>
      </c>
      <c r="AX24" t="s">
        <v>1513</v>
      </c>
      <c r="AY24" t="s">
        <v>1514</v>
      </c>
      <c r="AZ24" t="s">
        <v>1515</v>
      </c>
      <c r="BA24" t="s">
        <v>1516</v>
      </c>
      <c r="BB24" s="129" t="s">
        <v>1517</v>
      </c>
      <c r="BC24" t="s">
        <v>1518</v>
      </c>
      <c r="BD24" t="s">
        <v>1519</v>
      </c>
      <c r="BE24" t="s">
        <v>1520</v>
      </c>
      <c r="BF24" t="s">
        <v>1521</v>
      </c>
      <c r="BG24" t="s">
        <v>1522</v>
      </c>
      <c r="BH24" t="s">
        <v>1523</v>
      </c>
      <c r="BI24" t="s">
        <v>1524</v>
      </c>
    </row>
    <row r="25" spans="1:61">
      <c r="A25" t="s">
        <v>1530</v>
      </c>
      <c r="B25" t="s">
        <v>2240</v>
      </c>
      <c r="C25" t="s">
        <v>2241</v>
      </c>
      <c r="D25" t="s">
        <v>1559</v>
      </c>
      <c r="E25" t="s">
        <v>1560</v>
      </c>
      <c r="F25" t="s">
        <v>133</v>
      </c>
      <c r="G25" t="s">
        <v>1532</v>
      </c>
      <c r="H25" t="s">
        <v>2242</v>
      </c>
      <c r="I25" t="s">
        <v>2243</v>
      </c>
      <c r="J25" t="s">
        <v>2245</v>
      </c>
      <c r="K25" t="s">
        <v>2244</v>
      </c>
      <c r="L25" t="s">
        <v>1532</v>
      </c>
      <c r="M25" t="s">
        <v>1533</v>
      </c>
      <c r="N25" t="s">
        <v>1566</v>
      </c>
      <c r="O25" t="s">
        <v>142</v>
      </c>
      <c r="P25" t="s">
        <v>2246</v>
      </c>
      <c r="Q25" t="s">
        <v>2247</v>
      </c>
      <c r="R25" t="s">
        <v>2248</v>
      </c>
      <c r="S25" t="s">
        <v>2249</v>
      </c>
      <c r="T25" t="s">
        <v>1534</v>
      </c>
      <c r="U25" t="s">
        <v>2250</v>
      </c>
      <c r="V25" t="s">
        <v>2251</v>
      </c>
      <c r="W25" t="s">
        <v>2252</v>
      </c>
      <c r="X25" t="s">
        <v>2253</v>
      </c>
      <c r="Y25" t="s">
        <v>1575</v>
      </c>
      <c r="Z25" t="s">
        <v>2254</v>
      </c>
      <c r="AA25" t="s">
        <v>2255</v>
      </c>
      <c r="AB25" t="s">
        <v>2256</v>
      </c>
      <c r="AC25" t="s">
        <v>1536</v>
      </c>
      <c r="AD25" t="s">
        <v>1537</v>
      </c>
      <c r="AE25" t="s">
        <v>2257</v>
      </c>
      <c r="AF25" t="s">
        <v>2258</v>
      </c>
      <c r="AG25" t="s">
        <v>2241</v>
      </c>
      <c r="AH25" t="s">
        <v>2259</v>
      </c>
      <c r="AI25" t="s">
        <v>2260</v>
      </c>
      <c r="AJ25" t="s">
        <v>1539</v>
      </c>
      <c r="AK25" t="s">
        <v>1540</v>
      </c>
      <c r="AL25" t="s">
        <v>2261</v>
      </c>
      <c r="AM25" t="s">
        <v>2262</v>
      </c>
      <c r="AN25" t="s">
        <v>1541</v>
      </c>
      <c r="AO25" t="s">
        <v>2263</v>
      </c>
      <c r="AP25" t="s">
        <v>1586</v>
      </c>
      <c r="AQ25" t="s">
        <v>1542</v>
      </c>
      <c r="AR25" t="s">
        <v>1543</v>
      </c>
      <c r="AS25" t="s">
        <v>1544</v>
      </c>
      <c r="AT25" t="s">
        <v>1545</v>
      </c>
      <c r="AU25" t="s">
        <v>1546</v>
      </c>
      <c r="AV25" t="s">
        <v>1547</v>
      </c>
      <c r="AW25" t="s">
        <v>2264</v>
      </c>
      <c r="AX25" t="s">
        <v>2265</v>
      </c>
      <c r="AY25" t="s">
        <v>2266</v>
      </c>
      <c r="AZ25" t="s">
        <v>2250</v>
      </c>
      <c r="BA25" t="s">
        <v>104</v>
      </c>
      <c r="BB25" t="s">
        <v>1548</v>
      </c>
      <c r="BC25" t="s">
        <v>1550</v>
      </c>
      <c r="BD25" t="s">
        <v>1549</v>
      </c>
      <c r="BE25" t="s">
        <v>1551</v>
      </c>
      <c r="BF25" t="s">
        <v>964</v>
      </c>
      <c r="BG25" t="s">
        <v>1552</v>
      </c>
      <c r="BH25" t="s">
        <v>239</v>
      </c>
      <c r="BI25" t="s">
        <v>242</v>
      </c>
    </row>
    <row r="26" spans="1:61">
      <c r="A26" t="s">
        <v>1531</v>
      </c>
      <c r="B26" t="s">
        <v>1557</v>
      </c>
      <c r="C26" t="s">
        <v>1558</v>
      </c>
      <c r="D26" t="s">
        <v>1559</v>
      </c>
      <c r="E26" t="s">
        <v>1560</v>
      </c>
      <c r="F26" t="s">
        <v>133</v>
      </c>
      <c r="G26" t="s">
        <v>1557</v>
      </c>
      <c r="H26" t="s">
        <v>1561</v>
      </c>
      <c r="I26" t="s">
        <v>1562</v>
      </c>
      <c r="J26" t="s">
        <v>1563</v>
      </c>
      <c r="K26" t="s">
        <v>1564</v>
      </c>
      <c r="L26" t="s">
        <v>1557</v>
      </c>
      <c r="M26" t="s">
        <v>1565</v>
      </c>
      <c r="N26" t="s">
        <v>1566</v>
      </c>
      <c r="O26" t="s">
        <v>142</v>
      </c>
      <c r="P26" t="s">
        <v>1567</v>
      </c>
      <c r="Q26" t="s">
        <v>1568</v>
      </c>
      <c r="R26" t="s">
        <v>1569</v>
      </c>
      <c r="S26" t="s">
        <v>1570</v>
      </c>
      <c r="T26" t="s">
        <v>1571</v>
      </c>
      <c r="U26" t="s">
        <v>1572</v>
      </c>
      <c r="V26" t="s">
        <v>1535</v>
      </c>
      <c r="W26" t="s">
        <v>1573</v>
      </c>
      <c r="X26" t="s">
        <v>1574</v>
      </c>
      <c r="Y26" t="s">
        <v>1575</v>
      </c>
      <c r="Z26" t="s">
        <v>1576</v>
      </c>
      <c r="AA26" t="s">
        <v>1577</v>
      </c>
      <c r="AB26" t="s">
        <v>1578</v>
      </c>
      <c r="AC26" t="s">
        <v>1536</v>
      </c>
      <c r="AD26" t="s">
        <v>1579</v>
      </c>
      <c r="AE26" t="s">
        <v>1580</v>
      </c>
      <c r="AF26" t="s">
        <v>1581</v>
      </c>
      <c r="AG26" t="s">
        <v>1536</v>
      </c>
      <c r="AH26" t="s">
        <v>1538</v>
      </c>
      <c r="AI26" t="s">
        <v>1582</v>
      </c>
      <c r="AJ26" t="s">
        <v>1539</v>
      </c>
      <c r="AK26" t="s">
        <v>1540</v>
      </c>
      <c r="AL26" t="s">
        <v>1583</v>
      </c>
      <c r="AM26" t="s">
        <v>1584</v>
      </c>
      <c r="AN26" t="s">
        <v>1541</v>
      </c>
      <c r="AO26" t="s">
        <v>1585</v>
      </c>
      <c r="AP26" t="s">
        <v>1586</v>
      </c>
      <c r="AQ26" t="s">
        <v>1542</v>
      </c>
      <c r="AR26" t="s">
        <v>1543</v>
      </c>
      <c r="AS26" t="s">
        <v>1544</v>
      </c>
      <c r="AT26" t="s">
        <v>1587</v>
      </c>
      <c r="AU26" t="s">
        <v>1588</v>
      </c>
      <c r="AV26" t="s">
        <v>1547</v>
      </c>
      <c r="AW26" t="s">
        <v>1589</v>
      </c>
      <c r="AX26" t="s">
        <v>1590</v>
      </c>
      <c r="AY26" t="s">
        <v>1591</v>
      </c>
      <c r="AZ26" t="s">
        <v>1580</v>
      </c>
      <c r="BA26" t="s">
        <v>180</v>
      </c>
      <c r="BB26" t="s">
        <v>962</v>
      </c>
      <c r="BC26" t="s">
        <v>1553</v>
      </c>
      <c r="BD26" t="s">
        <v>965</v>
      </c>
      <c r="BE26" t="s">
        <v>1554</v>
      </c>
      <c r="BF26" t="s">
        <v>1555</v>
      </c>
      <c r="BG26" t="s">
        <v>1556</v>
      </c>
      <c r="BH26" t="s">
        <v>239</v>
      </c>
      <c r="BI26" t="s">
        <v>242</v>
      </c>
    </row>
    <row r="27" spans="1:61">
      <c r="A27" t="s">
        <v>1592</v>
      </c>
      <c r="B27" t="s">
        <v>1602</v>
      </c>
      <c r="C27" t="s">
        <v>1603</v>
      </c>
      <c r="D27" t="s">
        <v>1604</v>
      </c>
      <c r="E27" t="s">
        <v>1605</v>
      </c>
      <c r="F27" t="s">
        <v>1606</v>
      </c>
      <c r="G27" t="s">
        <v>1607</v>
      </c>
      <c r="H27" t="s">
        <v>1608</v>
      </c>
      <c r="I27" t="s">
        <v>1609</v>
      </c>
      <c r="J27" t="s">
        <v>1610</v>
      </c>
      <c r="K27" t="s">
        <v>1611</v>
      </c>
      <c r="L27" t="s">
        <v>1612</v>
      </c>
      <c r="M27" t="s">
        <v>1613</v>
      </c>
      <c r="N27" t="s">
        <v>1614</v>
      </c>
      <c r="O27" t="s">
        <v>1615</v>
      </c>
      <c r="P27" t="s">
        <v>1616</v>
      </c>
      <c r="Q27" t="s">
        <v>1617</v>
      </c>
      <c r="R27" t="s">
        <v>1618</v>
      </c>
      <c r="S27" t="s">
        <v>1619</v>
      </c>
      <c r="T27" t="s">
        <v>1620</v>
      </c>
      <c r="U27" t="s">
        <v>1621</v>
      </c>
      <c r="V27" t="s">
        <v>1622</v>
      </c>
      <c r="W27" t="s">
        <v>1623</v>
      </c>
      <c r="X27" t="s">
        <v>1624</v>
      </c>
      <c r="Y27" t="s">
        <v>1625</v>
      </c>
      <c r="Z27" t="s">
        <v>1626</v>
      </c>
      <c r="AA27" t="s">
        <v>1627</v>
      </c>
      <c r="AB27" t="s">
        <v>1628</v>
      </c>
      <c r="AC27" t="s">
        <v>1629</v>
      </c>
      <c r="AD27" t="s">
        <v>1630</v>
      </c>
      <c r="AE27" t="s">
        <v>1631</v>
      </c>
      <c r="AF27" t="s">
        <v>1632</v>
      </c>
      <c r="AG27" t="s">
        <v>1633</v>
      </c>
      <c r="AH27" t="s">
        <v>1634</v>
      </c>
      <c r="AI27" t="s">
        <v>1635</v>
      </c>
      <c r="AJ27" t="s">
        <v>1636</v>
      </c>
      <c r="AK27" t="s">
        <v>1637</v>
      </c>
      <c r="AL27" t="s">
        <v>1638</v>
      </c>
      <c r="AM27" t="s">
        <v>1639</v>
      </c>
      <c r="AN27" t="s">
        <v>1640</v>
      </c>
      <c r="AO27" t="s">
        <v>1641</v>
      </c>
      <c r="AP27" t="s">
        <v>1642</v>
      </c>
      <c r="AQ27" t="s">
        <v>1643</v>
      </c>
      <c r="AR27" t="s">
        <v>1644</v>
      </c>
      <c r="AS27" t="s">
        <v>1645</v>
      </c>
      <c r="AT27" t="s">
        <v>1646</v>
      </c>
      <c r="AU27" t="s">
        <v>1647</v>
      </c>
      <c r="AV27" t="s">
        <v>1648</v>
      </c>
      <c r="AW27" t="s">
        <v>1632</v>
      </c>
      <c r="AX27" t="s">
        <v>1649</v>
      </c>
      <c r="AY27" t="s">
        <v>1650</v>
      </c>
      <c r="AZ27" t="s">
        <v>1651</v>
      </c>
      <c r="BA27" t="s">
        <v>1652</v>
      </c>
      <c r="BB27" t="s">
        <v>2015</v>
      </c>
      <c r="BC27" t="s">
        <v>2017</v>
      </c>
      <c r="BD27" t="s">
        <v>2016</v>
      </c>
      <c r="BE27" t="s">
        <v>2018</v>
      </c>
      <c r="BF27" t="s">
        <v>2019</v>
      </c>
      <c r="BG27" t="s">
        <v>2020</v>
      </c>
      <c r="BH27" t="s">
        <v>239</v>
      </c>
      <c r="BI27" t="s">
        <v>242</v>
      </c>
    </row>
    <row r="28" spans="1:61">
      <c r="A28" t="s">
        <v>1593</v>
      </c>
      <c r="B28" t="s">
        <v>1653</v>
      </c>
      <c r="C28" t="s">
        <v>1654</v>
      </c>
      <c r="D28" t="s">
        <v>1655</v>
      </c>
      <c r="E28" t="s">
        <v>1656</v>
      </c>
      <c r="F28" t="s">
        <v>1657</v>
      </c>
      <c r="G28" t="s">
        <v>1658</v>
      </c>
      <c r="H28" t="s">
        <v>1659</v>
      </c>
      <c r="I28" t="s">
        <v>1660</v>
      </c>
      <c r="J28" t="s">
        <v>1661</v>
      </c>
      <c r="K28" t="s">
        <v>1662</v>
      </c>
      <c r="L28" t="s">
        <v>1663</v>
      </c>
      <c r="M28" t="s">
        <v>1664</v>
      </c>
      <c r="N28" t="s">
        <v>1665</v>
      </c>
      <c r="O28" t="s">
        <v>1666</v>
      </c>
      <c r="P28" t="s">
        <v>1667</v>
      </c>
      <c r="Q28" t="s">
        <v>1668</v>
      </c>
      <c r="R28" t="s">
        <v>1669</v>
      </c>
      <c r="S28" t="s">
        <v>1670</v>
      </c>
      <c r="T28" t="s">
        <v>1671</v>
      </c>
      <c r="U28" t="s">
        <v>1672</v>
      </c>
      <c r="V28" t="s">
        <v>1673</v>
      </c>
      <c r="W28" t="s">
        <v>1674</v>
      </c>
      <c r="X28" t="s">
        <v>1675</v>
      </c>
      <c r="Y28" t="s">
        <v>1676</v>
      </c>
      <c r="Z28" t="s">
        <v>1677</v>
      </c>
      <c r="AA28" t="s">
        <v>1678</v>
      </c>
      <c r="AB28" t="s">
        <v>1679</v>
      </c>
      <c r="AC28" t="s">
        <v>1680</v>
      </c>
      <c r="AD28" t="s">
        <v>1681</v>
      </c>
      <c r="AE28" t="s">
        <v>1682</v>
      </c>
      <c r="AF28" t="s">
        <v>1683</v>
      </c>
      <c r="AG28" t="s">
        <v>1683</v>
      </c>
      <c r="AH28" t="s">
        <v>1684</v>
      </c>
      <c r="AI28" t="s">
        <v>1685</v>
      </c>
      <c r="AJ28" t="s">
        <v>1686</v>
      </c>
      <c r="AK28" t="s">
        <v>1687</v>
      </c>
      <c r="AL28" t="s">
        <v>1688</v>
      </c>
      <c r="AM28" t="s">
        <v>1689</v>
      </c>
      <c r="AN28" t="s">
        <v>1690</v>
      </c>
      <c r="AO28" t="s">
        <v>1691</v>
      </c>
      <c r="AP28" t="s">
        <v>1692</v>
      </c>
      <c r="AQ28" t="s">
        <v>1693</v>
      </c>
      <c r="AR28" t="s">
        <v>1694</v>
      </c>
      <c r="AS28" t="s">
        <v>1695</v>
      </c>
      <c r="AT28" t="s">
        <v>1696</v>
      </c>
      <c r="AU28" t="s">
        <v>1697</v>
      </c>
      <c r="AV28" t="s">
        <v>1698</v>
      </c>
      <c r="AW28" t="s">
        <v>1699</v>
      </c>
      <c r="AX28" t="s">
        <v>1700</v>
      </c>
      <c r="AY28" t="s">
        <v>1701</v>
      </c>
      <c r="AZ28" t="s">
        <v>1702</v>
      </c>
      <c r="BA28" t="s">
        <v>1703</v>
      </c>
      <c r="BB28" t="s">
        <v>2021</v>
      </c>
      <c r="BC28" t="s">
        <v>2023</v>
      </c>
      <c r="BD28" t="s">
        <v>2022</v>
      </c>
      <c r="BE28" t="s">
        <v>2024</v>
      </c>
      <c r="BF28" t="s">
        <v>2025</v>
      </c>
      <c r="BG28" t="s">
        <v>2026</v>
      </c>
      <c r="BH28" t="s">
        <v>239</v>
      </c>
      <c r="BI28" t="s">
        <v>242</v>
      </c>
    </row>
    <row r="29" spans="1:61">
      <c r="A29" t="s">
        <v>1594</v>
      </c>
      <c r="B29" t="s">
        <v>2145</v>
      </c>
      <c r="C29" t="s">
        <v>1729</v>
      </c>
      <c r="D29" t="s">
        <v>900</v>
      </c>
      <c r="E29" t="s">
        <v>901</v>
      </c>
      <c r="F29" t="s">
        <v>2146</v>
      </c>
      <c r="G29" t="s">
        <v>2147</v>
      </c>
      <c r="H29" t="s">
        <v>2148</v>
      </c>
      <c r="I29" t="s">
        <v>2149</v>
      </c>
      <c r="J29" t="s">
        <v>2150</v>
      </c>
      <c r="K29" t="s">
        <v>2151</v>
      </c>
      <c r="L29" t="s">
        <v>1704</v>
      </c>
      <c r="M29" t="s">
        <v>2152</v>
      </c>
      <c r="N29" t="s">
        <v>2153</v>
      </c>
      <c r="O29" t="s">
        <v>1705</v>
      </c>
      <c r="P29" t="s">
        <v>2154</v>
      </c>
      <c r="Q29" t="s">
        <v>2155</v>
      </c>
      <c r="R29" t="s">
        <v>1712</v>
      </c>
      <c r="S29" t="s">
        <v>1713</v>
      </c>
      <c r="T29" t="s">
        <v>2156</v>
      </c>
      <c r="U29" t="s">
        <v>2157</v>
      </c>
      <c r="V29" t="s">
        <v>1739</v>
      </c>
      <c r="W29" t="s">
        <v>2158</v>
      </c>
      <c r="X29" t="s">
        <v>1714</v>
      </c>
      <c r="Y29" t="s">
        <v>1715</v>
      </c>
      <c r="Z29" t="s">
        <v>922</v>
      </c>
      <c r="AA29" t="s">
        <v>2159</v>
      </c>
      <c r="AB29" t="s">
        <v>2160</v>
      </c>
      <c r="AC29" t="s">
        <v>2161</v>
      </c>
      <c r="AD29" t="s">
        <v>2162</v>
      </c>
      <c r="AE29" t="s">
        <v>916</v>
      </c>
      <c r="AF29" t="s">
        <v>1756</v>
      </c>
      <c r="AG29" t="s">
        <v>1755</v>
      </c>
      <c r="AH29" t="s">
        <v>2163</v>
      </c>
      <c r="AI29" t="s">
        <v>2164</v>
      </c>
      <c r="AJ29" t="s">
        <v>1720</v>
      </c>
      <c r="AK29" t="s">
        <v>1721</v>
      </c>
      <c r="AL29" t="s">
        <v>2165</v>
      </c>
      <c r="AM29" t="s">
        <v>2166</v>
      </c>
      <c r="AN29" t="s">
        <v>1723</v>
      </c>
      <c r="AO29" t="s">
        <v>937</v>
      </c>
      <c r="AP29" t="s">
        <v>2167</v>
      </c>
      <c r="AQ29" t="s">
        <v>2168</v>
      </c>
      <c r="AR29" t="s">
        <v>1726</v>
      </c>
      <c r="AS29" t="s">
        <v>1727</v>
      </c>
      <c r="AT29" t="s">
        <v>1728</v>
      </c>
      <c r="AU29" t="s">
        <v>2169</v>
      </c>
      <c r="AV29" t="s">
        <v>1717</v>
      </c>
      <c r="AW29" t="s">
        <v>2170</v>
      </c>
      <c r="AX29" t="s">
        <v>2171</v>
      </c>
      <c r="AY29" t="s">
        <v>2172</v>
      </c>
      <c r="AZ29" t="s">
        <v>2173</v>
      </c>
      <c r="BA29" t="s">
        <v>2174</v>
      </c>
      <c r="BB29" t="s">
        <v>951</v>
      </c>
      <c r="BC29" t="s">
        <v>2175</v>
      </c>
      <c r="BD29" t="s">
        <v>952</v>
      </c>
      <c r="BE29" t="s">
        <v>2176</v>
      </c>
      <c r="BF29" t="s">
        <v>2030</v>
      </c>
      <c r="BG29" t="s">
        <v>956</v>
      </c>
      <c r="BH29" t="s">
        <v>2177</v>
      </c>
      <c r="BI29" t="s">
        <v>2178</v>
      </c>
    </row>
    <row r="30" spans="1:61">
      <c r="A30" t="s">
        <v>1595</v>
      </c>
      <c r="B30" t="s">
        <v>1704</v>
      </c>
      <c r="C30" t="s">
        <v>1729</v>
      </c>
      <c r="D30" t="s">
        <v>1706</v>
      </c>
      <c r="E30" t="s">
        <v>1707</v>
      </c>
      <c r="F30" t="s">
        <v>1730</v>
      </c>
      <c r="G30" t="s">
        <v>1708</v>
      </c>
      <c r="H30" t="s">
        <v>1731</v>
      </c>
      <c r="I30" t="s">
        <v>1732</v>
      </c>
      <c r="J30" t="s">
        <v>1733</v>
      </c>
      <c r="K30" t="s">
        <v>1734</v>
      </c>
      <c r="L30" t="s">
        <v>1708</v>
      </c>
      <c r="M30" t="s">
        <v>1709</v>
      </c>
      <c r="N30" t="s">
        <v>1710</v>
      </c>
      <c r="O30" t="s">
        <v>1711</v>
      </c>
      <c r="P30" t="s">
        <v>1735</v>
      </c>
      <c r="Q30" t="s">
        <v>1736</v>
      </c>
      <c r="R30" t="s">
        <v>1712</v>
      </c>
      <c r="S30" t="s">
        <v>1713</v>
      </c>
      <c r="T30" t="s">
        <v>1737</v>
      </c>
      <c r="U30" t="s">
        <v>1738</v>
      </c>
      <c r="V30" t="s">
        <v>1739</v>
      </c>
      <c r="W30" t="s">
        <v>1740</v>
      </c>
      <c r="X30" t="s">
        <v>1714</v>
      </c>
      <c r="Y30" t="s">
        <v>1715</v>
      </c>
      <c r="Z30" t="s">
        <v>1741</v>
      </c>
      <c r="AA30" t="s">
        <v>1716</v>
      </c>
      <c r="AB30" t="s">
        <v>1742</v>
      </c>
      <c r="AC30" t="s">
        <v>1743</v>
      </c>
      <c r="AD30" t="s">
        <v>1744</v>
      </c>
      <c r="AE30" t="s">
        <v>1745</v>
      </c>
      <c r="AF30" t="s">
        <v>1718</v>
      </c>
      <c r="AG30" t="s">
        <v>1719</v>
      </c>
      <c r="AH30" t="s">
        <v>1746</v>
      </c>
      <c r="AI30" t="s">
        <v>1747</v>
      </c>
      <c r="AJ30" t="s">
        <v>1748</v>
      </c>
      <c r="AK30" t="s">
        <v>1749</v>
      </c>
      <c r="AL30" t="s">
        <v>1722</v>
      </c>
      <c r="AM30" t="s">
        <v>1722</v>
      </c>
      <c r="AN30" t="s">
        <v>1750</v>
      </c>
      <c r="AO30" t="s">
        <v>1751</v>
      </c>
      <c r="AP30" t="s">
        <v>1724</v>
      </c>
      <c r="AQ30" t="s">
        <v>1725</v>
      </c>
      <c r="AR30" t="s">
        <v>1726</v>
      </c>
      <c r="AS30" t="s">
        <v>1727</v>
      </c>
      <c r="AT30" t="s">
        <v>1752</v>
      </c>
      <c r="AU30" t="s">
        <v>1753</v>
      </c>
      <c r="AV30" t="s">
        <v>1717</v>
      </c>
      <c r="AW30" t="s">
        <v>1754</v>
      </c>
      <c r="AX30" t="s">
        <v>1755</v>
      </c>
      <c r="AY30" t="s">
        <v>1756</v>
      </c>
      <c r="AZ30" t="s">
        <v>1757</v>
      </c>
      <c r="BA30" t="s">
        <v>1758</v>
      </c>
      <c r="BB30" t="s">
        <v>2027</v>
      </c>
      <c r="BC30" t="s">
        <v>2028</v>
      </c>
      <c r="BD30" t="s">
        <v>2032</v>
      </c>
      <c r="BE30" t="s">
        <v>2029</v>
      </c>
      <c r="BF30" t="s">
        <v>2030</v>
      </c>
      <c r="BG30" t="s">
        <v>2031</v>
      </c>
      <c r="BH30" t="s">
        <v>239</v>
      </c>
      <c r="BI30" t="s">
        <v>242</v>
      </c>
    </row>
    <row r="31" spans="1:61">
      <c r="A31" t="s">
        <v>1596</v>
      </c>
      <c r="B31" t="s">
        <v>1759</v>
      </c>
      <c r="C31" t="s">
        <v>1760</v>
      </c>
      <c r="D31" t="s">
        <v>1761</v>
      </c>
      <c r="E31" t="s">
        <v>1762</v>
      </c>
      <c r="F31" t="s">
        <v>1763</v>
      </c>
      <c r="G31" t="s">
        <v>1764</v>
      </c>
      <c r="H31" t="s">
        <v>1765</v>
      </c>
      <c r="I31" t="s">
        <v>1766</v>
      </c>
      <c r="J31" t="s">
        <v>1767</v>
      </c>
      <c r="K31" t="s">
        <v>1768</v>
      </c>
      <c r="L31" t="s">
        <v>1764</v>
      </c>
      <c r="M31" t="s">
        <v>1769</v>
      </c>
      <c r="N31" t="s">
        <v>1770</v>
      </c>
      <c r="O31" t="s">
        <v>1771</v>
      </c>
      <c r="P31" t="s">
        <v>1772</v>
      </c>
      <c r="Q31" t="s">
        <v>1773</v>
      </c>
      <c r="R31" t="s">
        <v>1774</v>
      </c>
      <c r="S31" t="s">
        <v>1775</v>
      </c>
      <c r="T31" t="s">
        <v>1776</v>
      </c>
      <c r="U31" t="s">
        <v>1777</v>
      </c>
      <c r="V31" t="s">
        <v>1778</v>
      </c>
      <c r="W31" t="s">
        <v>1779</v>
      </c>
      <c r="X31" t="s">
        <v>1780</v>
      </c>
      <c r="Y31" t="s">
        <v>1781</v>
      </c>
      <c r="Z31" t="s">
        <v>1782</v>
      </c>
      <c r="AA31" t="s">
        <v>1783</v>
      </c>
      <c r="AB31" t="s">
        <v>1784</v>
      </c>
      <c r="AC31" t="s">
        <v>1785</v>
      </c>
      <c r="AD31" t="s">
        <v>1786</v>
      </c>
      <c r="AE31" t="s">
        <v>1787</v>
      </c>
      <c r="AF31" t="s">
        <v>1788</v>
      </c>
      <c r="AG31" t="s">
        <v>1789</v>
      </c>
      <c r="AH31" t="s">
        <v>1790</v>
      </c>
      <c r="AI31" t="s">
        <v>1791</v>
      </c>
      <c r="AJ31" t="s">
        <v>1792</v>
      </c>
      <c r="AK31" t="s">
        <v>1793</v>
      </c>
      <c r="AL31" t="s">
        <v>1794</v>
      </c>
      <c r="AM31" t="s">
        <v>1794</v>
      </c>
      <c r="AN31" t="s">
        <v>1795</v>
      </c>
      <c r="AO31" t="s">
        <v>1796</v>
      </c>
      <c r="AP31" t="s">
        <v>1797</v>
      </c>
      <c r="AQ31" t="s">
        <v>1798</v>
      </c>
      <c r="AR31" t="s">
        <v>1799</v>
      </c>
      <c r="AS31" t="s">
        <v>1800</v>
      </c>
      <c r="AT31" t="s">
        <v>1801</v>
      </c>
      <c r="AU31" t="s">
        <v>1802</v>
      </c>
      <c r="AV31" t="s">
        <v>1803</v>
      </c>
      <c r="AW31" t="s">
        <v>1804</v>
      </c>
      <c r="AX31" t="s">
        <v>1805</v>
      </c>
      <c r="AY31" t="s">
        <v>1806</v>
      </c>
      <c r="AZ31" t="s">
        <v>1807</v>
      </c>
      <c r="BA31" t="s">
        <v>1808</v>
      </c>
      <c r="BB31" t="s">
        <v>2033</v>
      </c>
      <c r="BC31" t="s">
        <v>2035</v>
      </c>
      <c r="BD31" t="s">
        <v>2034</v>
      </c>
      <c r="BE31" t="s">
        <v>2036</v>
      </c>
      <c r="BF31" t="s">
        <v>2037</v>
      </c>
      <c r="BG31" t="s">
        <v>2038</v>
      </c>
      <c r="BH31" t="s">
        <v>239</v>
      </c>
      <c r="BI31" t="s">
        <v>242</v>
      </c>
    </row>
    <row r="32" spans="1:61">
      <c r="A32" t="s">
        <v>1597</v>
      </c>
      <c r="B32" t="s">
        <v>1809</v>
      </c>
      <c r="C32" t="s">
        <v>1810</v>
      </c>
      <c r="D32" t="s">
        <v>1811</v>
      </c>
      <c r="E32" t="s">
        <v>1812</v>
      </c>
      <c r="F32" t="s">
        <v>2119</v>
      </c>
      <c r="G32" t="s">
        <v>2120</v>
      </c>
      <c r="H32" t="s">
        <v>1813</v>
      </c>
      <c r="I32" t="s">
        <v>1814</v>
      </c>
      <c r="J32" t="s">
        <v>1815</v>
      </c>
      <c r="K32" t="s">
        <v>1816</v>
      </c>
      <c r="L32" t="s">
        <v>1817</v>
      </c>
      <c r="M32" t="s">
        <v>1818</v>
      </c>
      <c r="N32" t="s">
        <v>1819</v>
      </c>
      <c r="O32" t="s">
        <v>1820</v>
      </c>
      <c r="P32" t="s">
        <v>2121</v>
      </c>
      <c r="Q32" t="s">
        <v>2122</v>
      </c>
      <c r="R32" t="s">
        <v>1821</v>
      </c>
      <c r="S32" t="s">
        <v>1822</v>
      </c>
      <c r="T32" t="s">
        <v>2123</v>
      </c>
      <c r="U32" t="s">
        <v>2124</v>
      </c>
      <c r="V32" t="s">
        <v>2125</v>
      </c>
      <c r="W32" t="s">
        <v>2126</v>
      </c>
      <c r="X32" t="s">
        <v>1823</v>
      </c>
      <c r="Y32" t="s">
        <v>1824</v>
      </c>
      <c r="Z32" t="s">
        <v>1825</v>
      </c>
      <c r="AA32" t="s">
        <v>2127</v>
      </c>
      <c r="AB32" t="s">
        <v>2128</v>
      </c>
      <c r="AC32" t="s">
        <v>2129</v>
      </c>
      <c r="AD32" t="s">
        <v>2130</v>
      </c>
      <c r="AE32" t="s">
        <v>2131</v>
      </c>
      <c r="AF32" t="s">
        <v>1826</v>
      </c>
      <c r="AG32" t="s">
        <v>1827</v>
      </c>
      <c r="AH32" t="s">
        <v>2132</v>
      </c>
      <c r="AI32" t="s">
        <v>2133</v>
      </c>
      <c r="AJ32" t="s">
        <v>1828</v>
      </c>
      <c r="AK32" t="s">
        <v>2134</v>
      </c>
      <c r="AL32" t="s">
        <v>2135</v>
      </c>
      <c r="AM32" t="s">
        <v>2136</v>
      </c>
      <c r="AN32" t="s">
        <v>1829</v>
      </c>
      <c r="AO32" t="s">
        <v>1830</v>
      </c>
      <c r="AP32" t="s">
        <v>1439</v>
      </c>
      <c r="AQ32" t="s">
        <v>1831</v>
      </c>
      <c r="AR32" t="s">
        <v>1832</v>
      </c>
      <c r="AS32" t="s">
        <v>1833</v>
      </c>
      <c r="AT32" t="s">
        <v>1834</v>
      </c>
      <c r="AU32" t="s">
        <v>1835</v>
      </c>
      <c r="AV32" t="s">
        <v>1836</v>
      </c>
      <c r="AW32" t="s">
        <v>1837</v>
      </c>
      <c r="AX32" t="s">
        <v>1838</v>
      </c>
      <c r="AY32" t="s">
        <v>1839</v>
      </c>
      <c r="AZ32" t="s">
        <v>2137</v>
      </c>
      <c r="BA32" t="s">
        <v>2138</v>
      </c>
      <c r="BB32" t="s">
        <v>2039</v>
      </c>
      <c r="BC32" t="s">
        <v>2041</v>
      </c>
      <c r="BD32" t="s">
        <v>2040</v>
      </c>
      <c r="BE32" t="s">
        <v>2042</v>
      </c>
      <c r="BF32" t="s">
        <v>2043</v>
      </c>
      <c r="BG32" t="s">
        <v>2044</v>
      </c>
      <c r="BH32" t="s">
        <v>239</v>
      </c>
      <c r="BI32" t="s">
        <v>242</v>
      </c>
    </row>
    <row r="33" spans="1:61">
      <c r="A33" t="s">
        <v>1598</v>
      </c>
      <c r="B33" t="s">
        <v>1840</v>
      </c>
      <c r="C33" t="s">
        <v>1841</v>
      </c>
      <c r="D33" t="s">
        <v>1842</v>
      </c>
      <c r="E33" t="s">
        <v>1843</v>
      </c>
      <c r="F33" t="s">
        <v>1844</v>
      </c>
      <c r="G33" t="s">
        <v>1845</v>
      </c>
      <c r="H33" t="s">
        <v>1846</v>
      </c>
      <c r="I33" t="s">
        <v>1847</v>
      </c>
      <c r="J33" t="s">
        <v>1848</v>
      </c>
      <c r="K33" t="s">
        <v>1849</v>
      </c>
      <c r="L33" t="s">
        <v>1850</v>
      </c>
      <c r="M33" t="s">
        <v>1851</v>
      </c>
      <c r="N33" t="s">
        <v>1852</v>
      </c>
      <c r="O33" t="s">
        <v>1853</v>
      </c>
      <c r="P33" t="s">
        <v>1854</v>
      </c>
      <c r="Q33" t="s">
        <v>1855</v>
      </c>
      <c r="R33" t="s">
        <v>1856</v>
      </c>
      <c r="S33" t="s">
        <v>1857</v>
      </c>
      <c r="T33" t="s">
        <v>1858</v>
      </c>
      <c r="U33" t="s">
        <v>1859</v>
      </c>
      <c r="V33" t="s">
        <v>1860</v>
      </c>
      <c r="W33" t="s">
        <v>1861</v>
      </c>
      <c r="X33" t="s">
        <v>1862</v>
      </c>
      <c r="Y33" t="s">
        <v>1863</v>
      </c>
      <c r="Z33" t="s">
        <v>1864</v>
      </c>
      <c r="AA33" t="s">
        <v>1865</v>
      </c>
      <c r="AB33" t="s">
        <v>1866</v>
      </c>
      <c r="AC33" t="s">
        <v>1867</v>
      </c>
      <c r="AD33" t="s">
        <v>1868</v>
      </c>
      <c r="AE33" t="s">
        <v>1869</v>
      </c>
      <c r="AF33" t="s">
        <v>1870</v>
      </c>
      <c r="AG33" t="s">
        <v>1871</v>
      </c>
      <c r="AH33" t="s">
        <v>1872</v>
      </c>
      <c r="AI33" t="s">
        <v>1873</v>
      </c>
      <c r="AJ33" t="s">
        <v>1874</v>
      </c>
      <c r="AK33" t="s">
        <v>1875</v>
      </c>
      <c r="AL33" t="s">
        <v>1876</v>
      </c>
      <c r="AM33" t="s">
        <v>1876</v>
      </c>
      <c r="AN33" t="s">
        <v>1877</v>
      </c>
      <c r="AO33" t="s">
        <v>1878</v>
      </c>
      <c r="AP33" t="s">
        <v>1879</v>
      </c>
      <c r="AQ33" t="s">
        <v>1880</v>
      </c>
      <c r="AR33" t="s">
        <v>1881</v>
      </c>
      <c r="AS33" t="s">
        <v>1882</v>
      </c>
      <c r="AT33" t="s">
        <v>1883</v>
      </c>
      <c r="AU33" t="s">
        <v>1884</v>
      </c>
      <c r="AV33" t="s">
        <v>1885</v>
      </c>
      <c r="AW33" t="s">
        <v>1886</v>
      </c>
      <c r="AX33" t="s">
        <v>1887</v>
      </c>
      <c r="AY33" t="s">
        <v>1888</v>
      </c>
      <c r="AZ33" t="s">
        <v>1889</v>
      </c>
      <c r="BA33" t="s">
        <v>1890</v>
      </c>
      <c r="BB33" t="s">
        <v>2045</v>
      </c>
      <c r="BC33" t="s">
        <v>2047</v>
      </c>
      <c r="BD33" t="s">
        <v>2046</v>
      </c>
      <c r="BE33" t="s">
        <v>2048</v>
      </c>
      <c r="BF33" t="s">
        <v>2049</v>
      </c>
      <c r="BG33" t="s">
        <v>2050</v>
      </c>
      <c r="BH33" t="s">
        <v>239</v>
      </c>
      <c r="BI33" t="s">
        <v>242</v>
      </c>
    </row>
    <row r="34" spans="1:61">
      <c r="A34" t="s">
        <v>1599</v>
      </c>
      <c r="B34" t="s">
        <v>1891</v>
      </c>
      <c r="C34" t="s">
        <v>1891</v>
      </c>
      <c r="D34" t="s">
        <v>1892</v>
      </c>
      <c r="E34" t="s">
        <v>1892</v>
      </c>
      <c r="F34" t="s">
        <v>1893</v>
      </c>
      <c r="G34" t="s">
        <v>1893</v>
      </c>
      <c r="H34" t="s">
        <v>1894</v>
      </c>
      <c r="I34" t="s">
        <v>1894</v>
      </c>
      <c r="J34" t="s">
        <v>1895</v>
      </c>
      <c r="K34" t="s">
        <v>1895</v>
      </c>
      <c r="L34" t="s">
        <v>1896</v>
      </c>
      <c r="M34" t="s">
        <v>1896</v>
      </c>
      <c r="N34" t="s">
        <v>1897</v>
      </c>
      <c r="O34" t="s">
        <v>1897</v>
      </c>
      <c r="P34" t="s">
        <v>1898</v>
      </c>
      <c r="Q34" t="s">
        <v>1898</v>
      </c>
      <c r="R34" t="s">
        <v>1899</v>
      </c>
      <c r="S34" t="s">
        <v>1899</v>
      </c>
      <c r="T34" t="s">
        <v>1900</v>
      </c>
      <c r="U34" t="s">
        <v>1900</v>
      </c>
      <c r="V34" t="s">
        <v>1901</v>
      </c>
      <c r="W34" t="s">
        <v>1901</v>
      </c>
      <c r="X34" t="s">
        <v>1902</v>
      </c>
      <c r="Y34" t="s">
        <v>1902</v>
      </c>
      <c r="Z34" t="s">
        <v>1903</v>
      </c>
      <c r="AA34" t="s">
        <v>1903</v>
      </c>
      <c r="AB34" t="s">
        <v>1904</v>
      </c>
      <c r="AC34" t="s">
        <v>1904</v>
      </c>
      <c r="AD34" t="s">
        <v>1905</v>
      </c>
      <c r="AE34" t="s">
        <v>1905</v>
      </c>
      <c r="AF34" t="s">
        <v>1906</v>
      </c>
      <c r="AG34" t="s">
        <v>1906</v>
      </c>
      <c r="AH34" t="s">
        <v>1907</v>
      </c>
      <c r="AI34" t="s">
        <v>1907</v>
      </c>
      <c r="AJ34" t="s">
        <v>1908</v>
      </c>
      <c r="AK34" t="s">
        <v>1908</v>
      </c>
      <c r="AL34" t="s">
        <v>1909</v>
      </c>
      <c r="AM34" t="s">
        <v>1909</v>
      </c>
      <c r="AN34" t="s">
        <v>1910</v>
      </c>
      <c r="AO34" t="s">
        <v>1910</v>
      </c>
      <c r="AP34" t="s">
        <v>1911</v>
      </c>
      <c r="AQ34" t="s">
        <v>1911</v>
      </c>
      <c r="AR34" t="s">
        <v>1912</v>
      </c>
      <c r="AS34" t="s">
        <v>1912</v>
      </c>
      <c r="AT34" t="s">
        <v>1913</v>
      </c>
      <c r="AU34" t="s">
        <v>1913</v>
      </c>
      <c r="AV34" t="s">
        <v>1914</v>
      </c>
      <c r="AW34" t="s">
        <v>1914</v>
      </c>
      <c r="AX34" t="s">
        <v>1915</v>
      </c>
      <c r="AY34" t="s">
        <v>1915</v>
      </c>
      <c r="AZ34" t="s">
        <v>1916</v>
      </c>
      <c r="BA34" t="s">
        <v>1916</v>
      </c>
      <c r="BB34" t="s">
        <v>2051</v>
      </c>
      <c r="BC34" t="s">
        <v>2053</v>
      </c>
      <c r="BD34" t="s">
        <v>2052</v>
      </c>
      <c r="BE34" t="s">
        <v>2055</v>
      </c>
      <c r="BF34" t="s">
        <v>2054</v>
      </c>
      <c r="BG34" t="s">
        <v>2056</v>
      </c>
      <c r="BH34" t="s">
        <v>239</v>
      </c>
      <c r="BI34" t="s">
        <v>242</v>
      </c>
    </row>
    <row r="35" spans="1:61" ht="16">
      <c r="A35" t="s">
        <v>1600</v>
      </c>
      <c r="B35" t="s">
        <v>1917</v>
      </c>
      <c r="C35" t="s">
        <v>1918</v>
      </c>
      <c r="D35" t="s">
        <v>1919</v>
      </c>
      <c r="E35" t="s">
        <v>1920</v>
      </c>
      <c r="F35" t="s">
        <v>1921</v>
      </c>
      <c r="G35" t="s">
        <v>1922</v>
      </c>
      <c r="H35" t="s">
        <v>1923</v>
      </c>
      <c r="I35" t="s">
        <v>1924</v>
      </c>
      <c r="J35" t="s">
        <v>1148</v>
      </c>
      <c r="K35" t="s">
        <v>1925</v>
      </c>
      <c r="L35" t="s">
        <v>1926</v>
      </c>
      <c r="M35" t="s">
        <v>1927</v>
      </c>
      <c r="N35" t="s">
        <v>1928</v>
      </c>
      <c r="O35" t="s">
        <v>1141</v>
      </c>
      <c r="P35" t="s">
        <v>1929</v>
      </c>
      <c r="Q35" t="s">
        <v>1930</v>
      </c>
      <c r="R35" t="s">
        <v>1931</v>
      </c>
      <c r="S35" t="s">
        <v>1932</v>
      </c>
      <c r="T35" t="s">
        <v>1933</v>
      </c>
      <c r="U35" t="s">
        <v>1934</v>
      </c>
      <c r="V35" t="s">
        <v>1935</v>
      </c>
      <c r="W35" t="s">
        <v>1936</v>
      </c>
      <c r="X35" t="s">
        <v>1937</v>
      </c>
      <c r="Y35" t="s">
        <v>1938</v>
      </c>
      <c r="Z35" t="s">
        <v>1939</v>
      </c>
      <c r="AA35" t="s">
        <v>1940</v>
      </c>
      <c r="AB35" t="s">
        <v>1941</v>
      </c>
      <c r="AC35" t="s">
        <v>1942</v>
      </c>
      <c r="AD35" t="s">
        <v>1943</v>
      </c>
      <c r="AE35" t="s">
        <v>1944</v>
      </c>
      <c r="AF35" t="s">
        <v>1945</v>
      </c>
      <c r="AG35" t="s">
        <v>1946</v>
      </c>
      <c r="AH35" t="s">
        <v>1947</v>
      </c>
      <c r="AI35" t="s">
        <v>1948</v>
      </c>
      <c r="AJ35" t="s">
        <v>1949</v>
      </c>
      <c r="AK35" t="s">
        <v>1950</v>
      </c>
      <c r="AL35" t="s">
        <v>1951</v>
      </c>
      <c r="AM35" t="s">
        <v>1951</v>
      </c>
      <c r="AN35" t="s">
        <v>1952</v>
      </c>
      <c r="AO35" t="s">
        <v>1953</v>
      </c>
      <c r="AP35" t="s">
        <v>1954</v>
      </c>
      <c r="AQ35" t="s">
        <v>1955</v>
      </c>
      <c r="AR35" t="s">
        <v>1956</v>
      </c>
      <c r="AS35" t="s">
        <v>1182</v>
      </c>
      <c r="AT35" t="s">
        <v>1957</v>
      </c>
      <c r="AU35" t="s">
        <v>1958</v>
      </c>
      <c r="AV35" t="s">
        <v>1942</v>
      </c>
      <c r="AW35" t="s">
        <v>1959</v>
      </c>
      <c r="AX35" t="s">
        <v>1960</v>
      </c>
      <c r="AY35" t="s">
        <v>1961</v>
      </c>
      <c r="AZ35" t="s">
        <v>1962</v>
      </c>
      <c r="BA35" t="s">
        <v>1963</v>
      </c>
      <c r="BB35" t="s">
        <v>1191</v>
      </c>
      <c r="BC35" t="s">
        <v>2058</v>
      </c>
      <c r="BD35" t="s">
        <v>2057</v>
      </c>
      <c r="BE35" s="132" t="s">
        <v>2059</v>
      </c>
      <c r="BF35" t="s">
        <v>2060</v>
      </c>
      <c r="BG35" t="s">
        <v>2061</v>
      </c>
      <c r="BH35" t="s">
        <v>239</v>
      </c>
      <c r="BI35" t="s">
        <v>242</v>
      </c>
    </row>
    <row r="36" spans="1:61">
      <c r="A36" t="s">
        <v>1601</v>
      </c>
      <c r="B36" t="s">
        <v>1964</v>
      </c>
      <c r="C36" t="s">
        <v>1965</v>
      </c>
      <c r="D36" t="s">
        <v>1966</v>
      </c>
      <c r="E36" t="s">
        <v>1967</v>
      </c>
      <c r="F36" t="s">
        <v>1968</v>
      </c>
      <c r="G36" t="s">
        <v>1969</v>
      </c>
      <c r="H36" t="s">
        <v>1970</v>
      </c>
      <c r="I36" t="s">
        <v>1971</v>
      </c>
      <c r="J36" t="s">
        <v>1972</v>
      </c>
      <c r="K36" t="s">
        <v>1973</v>
      </c>
      <c r="L36" t="s">
        <v>1974</v>
      </c>
      <c r="M36" t="s">
        <v>1975</v>
      </c>
      <c r="N36" t="s">
        <v>1976</v>
      </c>
      <c r="O36" t="s">
        <v>1977</v>
      </c>
      <c r="P36" t="s">
        <v>1978</v>
      </c>
      <c r="Q36" t="s">
        <v>1979</v>
      </c>
      <c r="R36" t="s">
        <v>1980</v>
      </c>
      <c r="S36" t="s">
        <v>1981</v>
      </c>
      <c r="T36" t="s">
        <v>1982</v>
      </c>
      <c r="U36" t="s">
        <v>1983</v>
      </c>
      <c r="V36" t="s">
        <v>1984</v>
      </c>
      <c r="W36" t="s">
        <v>1985</v>
      </c>
      <c r="X36" t="s">
        <v>1986</v>
      </c>
      <c r="Y36" t="s">
        <v>1987</v>
      </c>
      <c r="Z36" t="s">
        <v>1988</v>
      </c>
      <c r="AA36" t="s">
        <v>1989</v>
      </c>
      <c r="AB36" t="s">
        <v>1990</v>
      </c>
      <c r="AC36" t="s">
        <v>1991</v>
      </c>
      <c r="AD36" t="s">
        <v>1992</v>
      </c>
      <c r="AE36" t="s">
        <v>1993</v>
      </c>
      <c r="AF36" t="s">
        <v>1994</v>
      </c>
      <c r="AG36" t="s">
        <v>1995</v>
      </c>
      <c r="AH36" t="s">
        <v>1996</v>
      </c>
      <c r="AI36" t="s">
        <v>1997</v>
      </c>
      <c r="AJ36" t="s">
        <v>1998</v>
      </c>
      <c r="AK36" t="s">
        <v>1999</v>
      </c>
      <c r="AL36" t="s">
        <v>2000</v>
      </c>
      <c r="AM36" t="s">
        <v>2000</v>
      </c>
      <c r="AN36" t="s">
        <v>2001</v>
      </c>
      <c r="AO36" t="s">
        <v>2002</v>
      </c>
      <c r="AP36" t="s">
        <v>2003</v>
      </c>
      <c r="AQ36" t="s">
        <v>2004</v>
      </c>
      <c r="AR36" t="s">
        <v>2005</v>
      </c>
      <c r="AS36" t="s">
        <v>2006</v>
      </c>
      <c r="AT36" t="s">
        <v>2007</v>
      </c>
      <c r="AU36" t="s">
        <v>2008</v>
      </c>
      <c r="AV36" t="s">
        <v>2009</v>
      </c>
      <c r="AW36" t="s">
        <v>2010</v>
      </c>
      <c r="AX36" t="s">
        <v>2011</v>
      </c>
      <c r="AY36" t="s">
        <v>2012</v>
      </c>
      <c r="AZ36" t="s">
        <v>2013</v>
      </c>
      <c r="BA36" t="s">
        <v>2014</v>
      </c>
      <c r="BB36" t="s">
        <v>2062</v>
      </c>
      <c r="BC36" t="s">
        <v>2067</v>
      </c>
      <c r="BD36" t="s">
        <v>2063</v>
      </c>
      <c r="BE36" t="s">
        <v>2064</v>
      </c>
      <c r="BF36" t="s">
        <v>2065</v>
      </c>
      <c r="BG36" t="s">
        <v>2066</v>
      </c>
      <c r="BH36" t="s">
        <v>239</v>
      </c>
      <c r="BI36" t="s">
        <v>242</v>
      </c>
    </row>
    <row r="37" spans="1:61">
      <c r="A37" t="s">
        <v>2068</v>
      </c>
      <c r="B37" t="s">
        <v>2069</v>
      </c>
      <c r="C37" t="s">
        <v>2070</v>
      </c>
      <c r="D37" t="s">
        <v>2071</v>
      </c>
      <c r="E37" t="s">
        <v>2072</v>
      </c>
      <c r="F37" t="s">
        <v>2073</v>
      </c>
      <c r="G37" t="s">
        <v>2074</v>
      </c>
      <c r="H37" t="s">
        <v>2075</v>
      </c>
      <c r="I37" t="s">
        <v>2076</v>
      </c>
      <c r="J37" t="s">
        <v>1301</v>
      </c>
      <c r="K37" t="s">
        <v>2077</v>
      </c>
      <c r="L37" t="s">
        <v>1303</v>
      </c>
      <c r="M37" t="s">
        <v>2078</v>
      </c>
      <c r="N37" t="s">
        <v>2079</v>
      </c>
      <c r="O37" t="s">
        <v>2080</v>
      </c>
      <c r="P37" t="s">
        <v>2081</v>
      </c>
      <c r="Q37" t="s">
        <v>2082</v>
      </c>
      <c r="R37" t="s">
        <v>2083</v>
      </c>
      <c r="S37" t="s">
        <v>1310</v>
      </c>
      <c r="T37" t="s">
        <v>2084</v>
      </c>
      <c r="U37" t="s">
        <v>2085</v>
      </c>
      <c r="V37" t="s">
        <v>2086</v>
      </c>
      <c r="W37" t="s">
        <v>2087</v>
      </c>
      <c r="X37" t="s">
        <v>1315</v>
      </c>
      <c r="Y37" t="s">
        <v>2088</v>
      </c>
      <c r="Z37" t="s">
        <v>2089</v>
      </c>
      <c r="AA37" t="s">
        <v>1318</v>
      </c>
      <c r="AB37" t="s">
        <v>2090</v>
      </c>
      <c r="AC37" t="s">
        <v>2091</v>
      </c>
      <c r="AD37" t="s">
        <v>2092</v>
      </c>
      <c r="AE37" t="s">
        <v>2093</v>
      </c>
      <c r="AF37" t="s">
        <v>2094</v>
      </c>
      <c r="AG37" t="s">
        <v>2095</v>
      </c>
      <c r="AH37" t="s">
        <v>2096</v>
      </c>
      <c r="AI37" t="s">
        <v>2097</v>
      </c>
      <c r="AJ37" t="s">
        <v>2098</v>
      </c>
      <c r="AK37" t="s">
        <v>2099</v>
      </c>
      <c r="AL37" t="s">
        <v>2100</v>
      </c>
      <c r="AM37" t="s">
        <v>2101</v>
      </c>
      <c r="AN37" t="s">
        <v>2102</v>
      </c>
      <c r="AO37" t="s">
        <v>2103</v>
      </c>
      <c r="AP37" t="s">
        <v>1333</v>
      </c>
      <c r="AQ37" t="s">
        <v>2104</v>
      </c>
      <c r="AR37" t="s">
        <v>1335</v>
      </c>
      <c r="AS37" t="s">
        <v>1336</v>
      </c>
      <c r="AT37" t="s">
        <v>2105</v>
      </c>
      <c r="AU37" t="s">
        <v>2106</v>
      </c>
      <c r="AV37" t="s">
        <v>2107</v>
      </c>
      <c r="AW37" t="s">
        <v>2108</v>
      </c>
      <c r="AX37" t="s">
        <v>1341</v>
      </c>
      <c r="AY37" t="s">
        <v>1342</v>
      </c>
      <c r="AZ37" t="s">
        <v>2109</v>
      </c>
      <c r="BA37" t="s">
        <v>2110</v>
      </c>
      <c r="BB37" t="s">
        <v>2112</v>
      </c>
      <c r="BC37" t="s">
        <v>2113</v>
      </c>
      <c r="BD37" t="s">
        <v>2114</v>
      </c>
      <c r="BE37" t="s">
        <v>2115</v>
      </c>
      <c r="BF37" t="s">
        <v>2116</v>
      </c>
      <c r="BG37" t="s">
        <v>2117</v>
      </c>
      <c r="BH37" t="s">
        <v>1351</v>
      </c>
      <c r="BI37" t="s">
        <v>2111</v>
      </c>
    </row>
    <row r="38" spans="1:61" ht="17">
      <c r="A38" t="s">
        <v>2183</v>
      </c>
      <c r="B38" t="s">
        <v>2184</v>
      </c>
      <c r="C38" t="s">
        <v>2185</v>
      </c>
      <c r="D38" t="s">
        <v>2186</v>
      </c>
      <c r="E38" t="s">
        <v>2187</v>
      </c>
      <c r="F38" t="s">
        <v>2188</v>
      </c>
      <c r="G38" t="s">
        <v>2189</v>
      </c>
      <c r="H38" t="s">
        <v>2190</v>
      </c>
      <c r="I38" t="s">
        <v>2191</v>
      </c>
      <c r="J38" t="s">
        <v>2192</v>
      </c>
      <c r="K38" t="s">
        <v>2193</v>
      </c>
      <c r="L38" t="s">
        <v>2194</v>
      </c>
      <c r="M38" t="s">
        <v>2195</v>
      </c>
      <c r="N38" t="s">
        <v>2196</v>
      </c>
      <c r="O38" t="s">
        <v>2197</v>
      </c>
      <c r="P38" t="s">
        <v>2198</v>
      </c>
      <c r="Q38" t="s">
        <v>2199</v>
      </c>
      <c r="R38" t="s">
        <v>2200</v>
      </c>
      <c r="S38" t="s">
        <v>2201</v>
      </c>
      <c r="T38" t="s">
        <v>2202</v>
      </c>
      <c r="U38" t="s">
        <v>2203</v>
      </c>
      <c r="V38" t="s">
        <v>2204</v>
      </c>
      <c r="W38" t="s">
        <v>2205</v>
      </c>
      <c r="X38" t="s">
        <v>2206</v>
      </c>
      <c r="Y38" t="s">
        <v>2207</v>
      </c>
      <c r="Z38" t="s">
        <v>2208</v>
      </c>
      <c r="AA38" t="s">
        <v>2209</v>
      </c>
      <c r="AB38" t="s">
        <v>2210</v>
      </c>
      <c r="AC38" t="s">
        <v>2211</v>
      </c>
      <c r="AD38" t="s">
        <v>2212</v>
      </c>
      <c r="AE38" t="s">
        <v>2213</v>
      </c>
      <c r="AF38" t="s">
        <v>2214</v>
      </c>
      <c r="AG38" t="s">
        <v>2215</v>
      </c>
      <c r="AH38" t="s">
        <v>2216</v>
      </c>
      <c r="AI38" t="s">
        <v>2217</v>
      </c>
      <c r="AJ38" t="s">
        <v>2218</v>
      </c>
      <c r="AK38" t="s">
        <v>2219</v>
      </c>
      <c r="AL38" t="s">
        <v>2220</v>
      </c>
      <c r="AM38" t="s">
        <v>2221</v>
      </c>
      <c r="AN38" t="s">
        <v>2222</v>
      </c>
      <c r="AO38" t="s">
        <v>2223</v>
      </c>
      <c r="AP38" t="s">
        <v>2224</v>
      </c>
      <c r="AQ38" t="s">
        <v>2225</v>
      </c>
      <c r="AR38" t="s">
        <v>2226</v>
      </c>
      <c r="AS38" t="s">
        <v>2227</v>
      </c>
      <c r="AT38" t="s">
        <v>2228</v>
      </c>
      <c r="AU38" t="s">
        <v>2229</v>
      </c>
      <c r="AV38" t="s">
        <v>2230</v>
      </c>
      <c r="AW38" t="s">
        <v>2231</v>
      </c>
      <c r="AX38" t="s">
        <v>2232</v>
      </c>
      <c r="AY38" t="s">
        <v>2233</v>
      </c>
      <c r="AZ38" t="s">
        <v>2234</v>
      </c>
      <c r="BA38" t="s">
        <v>2235</v>
      </c>
      <c r="BB38" s="137" t="s">
        <v>2211</v>
      </c>
      <c r="BC38" s="137" t="s">
        <v>2236</v>
      </c>
      <c r="BD38" s="137" t="s">
        <v>2237</v>
      </c>
      <c r="BE38" s="137" t="s">
        <v>2238</v>
      </c>
      <c r="BF38" s="137" t="s">
        <v>2218</v>
      </c>
      <c r="BG38" s="137" t="s">
        <v>2188</v>
      </c>
      <c r="BH38" s="137" t="s">
        <v>2227</v>
      </c>
      <c r="BI38" s="137" t="s">
        <v>2239</v>
      </c>
    </row>
  </sheetData>
  <pageMargins left="0.7" right="0.7" top="0.75" bottom="0.75" header="0.3" footer="0.3"/>
  <pageSetup paperSize="9"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Hugo RASKIN</cp:lastModifiedBy>
  <dcterms:created xsi:type="dcterms:W3CDTF">2012-03-20T13:56:56Z</dcterms:created>
  <dcterms:modified xsi:type="dcterms:W3CDTF">2025-11-07T08:10:58Z</dcterms:modified>
</cp:coreProperties>
</file>